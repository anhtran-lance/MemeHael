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Huong_dan" sheetId="1" state="visible" r:id="rId3"/>
    <sheet name="_Lists" sheetId="2" state="hidden" r:id="rId4"/>
    <sheet name="01_Deal_Info" sheetId="3" state="visible" r:id="rId5"/>
    <sheet name="02_Hanh_trinh" sheetId="4" state="visible" r:id="rId6"/>
    <sheet name="03_Stakeholders" sheetId="5" state="visible" r:id="rId7"/>
    <sheet name="04_MEDDPICC" sheetId="6" state="visible" r:id="rId8"/>
    <sheet name="05_Red_Flags" sheetId="7" state="visible" r:id="rId9"/>
    <sheet name="06_Doi_thu" sheetId="8" state="visible" r:id="rId10"/>
    <sheet name="07_Value_Case" sheetId="9" state="visible" r:id="rId11"/>
    <sheet name="08_Cam_ket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<sst xmlns="http://schemas.openxmlformats.org/spreadsheetml/2006/main" count="515" uniqueCount="383">
  <si>
    <t xml:space="preserve">DEAL JOURNEY REVIEW — FILE INPUT CHUẨN</t>
  </si>
  <si>
    <t xml:space="preserve">Điền file này rồi đưa cho Claude kèm câu lệnh: “phân tích deal journey từ file input này”.</t>
  </si>
  <si>
    <t xml:space="preserve">CÁCH DÙNG</t>
  </si>
  <si>
    <t xml:space="preserve">Bước 1</t>
  </si>
  <si>
    <t xml:space="preserve">Điền sheet 01_Deal_Info (bắt buộc) và 02_Hanh_trinh (bắt buộc). Đây là hai sheet tối thiểu để chạy được phân tích.</t>
  </si>
  <si>
    <t xml:space="preserve">Bước 2</t>
  </si>
  <si>
    <t xml:space="preserve">Điền tiếp 03_Stakeholders, 05_Red_Flags, 08_Cam_ket nếu có dữ liệu. Càng đầy đủ, phản biện càng sắc.</t>
  </si>
  <si>
    <t xml:space="preserve">Bước 3</t>
  </si>
  <si>
    <t xml:space="preserve">04_MEDDPICC, 06_Doi_thu, 07_Value_Case có thể để trống — Claude sẽ tự suy ra từ 02 và 03, rồi hỏi lại chỗ nào còn mơ hồ.</t>
  </si>
  <si>
    <t xml:space="preserve">Bước 4</t>
  </si>
  <si>
    <t xml:space="preserve">Gửi file cho Claude kèm: “phân tích deal journey”, “review hành trình deal”, hoặc “deal này next step nên làm gì”.</t>
  </si>
  <si>
    <t xml:space="preserve">QUY ƯỚC MÀU</t>
  </si>
  <si>
    <t xml:space="preserve">Vàng nhạt</t>
  </si>
  <si>
    <t xml:space="preserve">Ô bạn cần điền.</t>
  </si>
  <si>
    <t xml:space="preserve">Xanh xám</t>
  </si>
  <si>
    <t xml:space="preserve">Ô công thức tự tính — KHÔNG gõ đè lên.</t>
  </si>
  <si>
    <t xml:space="preserve">Xám nghiêng</t>
  </si>
  <si>
    <t xml:space="preserve">Dòng ví dụ. Xoá trước khi dùng thật, hoặc để lại cũng được — Claude tự nhận diện và bỏ qua.</t>
  </si>
  <si>
    <t xml:space="preserve">NGUYÊN TẮC ĐIỀN</t>
  </si>
  <si>
    <t xml:space="preserve">Ghi sự kiện, không ghi cảm nhận</t>
  </si>
  <si>
    <t xml:space="preserve">“TGĐ rời buổi sau 15 phút” tốt hơn “buổi họp không thuận lợi”. Phân tích chỉ mạnh bằng dữ liệu thô.</t>
  </si>
  <si>
    <t xml:space="preserve">Ghi cả buổi xấu</t>
  </si>
  <si>
    <t xml:space="preserve">Buổi kết quả tiêu cực và buổi bị huỷ là dữ liệu giá trị nhất. Bỏ qua chúng sẽ ra một bản review vô dụng.</t>
  </si>
  <si>
    <t xml:space="preserve">Không rõ thì ghi 'Chưa rõ'</t>
  </si>
  <si>
    <t xml:space="preserve">Đừng đoán. Ô trống và ô 'Chưa rõ' được Claude xử lý khác nhau: trống = chưa hỏi, Chưa rõ = đã hỏi mà chưa có câu trả lời.</t>
  </si>
  <si>
    <t xml:space="preserve">Cột 'Đổi lại được gì'</t>
  </si>
  <si>
    <t xml:space="preserve">Ở sheet 08, cột này quan trọng nhất cả file. Nếu Base cho đi mà không đổi lại điều kiện nào, ghi rõ 'Không có'.</t>
  </si>
  <si>
    <t xml:space="preserve">OUTPUT SẼ NHẬN ĐƯỢC</t>
  </si>
  <si>
    <t xml:space="preserve">File HTML 6 tab</t>
  </si>
  <si>
    <t xml:space="preserve">Chẩn đoán · Đối chiếu cổng B-phase &amp; MEDDPICC · Phản biện · Danh sách lỗ hổng · Kế hoạch 4 tuần · Câu hỏi mở.</t>
  </si>
  <si>
    <t xml:space="preserve">Kèm phản biện</t>
  </si>
  <si>
    <t xml:space="preserve">Claude sẽ chỉ ra chỗ dữ liệu tự mâu thuẫn, chỗ chẩn đoán của bạn có thể sai, và nêu tiêu chí dừng deal — kể cả khi bạn không muốn nghe.</t>
  </si>
  <si>
    <t xml:space="preserve">Loai_HD</t>
  </si>
  <si>
    <t xml:space="preserve">Giai_doan</t>
  </si>
  <si>
    <t xml:space="preserve">Bphase</t>
  </si>
  <si>
    <t xml:space="preserve">Ket_qua</t>
  </si>
  <si>
    <t xml:space="preserve">Co_khong</t>
  </si>
  <si>
    <t xml:space="preserve">Vai_tro</t>
  </si>
  <si>
    <t xml:space="preserve">Muc_do</t>
  </si>
  <si>
    <t xml:space="preserve">Thai_do</t>
  </si>
  <si>
    <t xml:space="preserve">MEDD_status</t>
  </si>
  <si>
    <t xml:space="preserve">RF_loai</t>
  </si>
  <si>
    <t xml:space="preserve">RF_trangthai</t>
  </si>
  <si>
    <t xml:space="preserve">DT_loai</t>
  </si>
  <si>
    <t xml:space="preserve">TCO_nhom</t>
  </si>
  <si>
    <t xml:space="preserve">Ben</t>
  </si>
  <si>
    <t xml:space="preserve">CK_trangthai</t>
  </si>
  <si>
    <t xml:space="preserve">Do_tin_cay</t>
  </si>
  <si>
    <t xml:space="preserve">Meeting</t>
  </si>
  <si>
    <t xml:space="preserve">Tiếp cận</t>
  </si>
  <si>
    <t xml:space="preserve">B0 — Qualify</t>
  </si>
  <si>
    <t xml:space="preserve">Tích cực</t>
  </si>
  <si>
    <t xml:space="preserve">Có</t>
  </si>
  <si>
    <t xml:space="preserve">Economic Buyer</t>
  </si>
  <si>
    <t xml:space="preserve">Cao</t>
  </si>
  <si>
    <t xml:space="preserve">Ủng hộ</t>
  </si>
  <si>
    <t xml:space="preserve">Đạt</t>
  </si>
  <si>
    <t xml:space="preserve">Mới</t>
  </si>
  <si>
    <t xml:space="preserve">Active — đang tham chiến</t>
  </si>
  <si>
    <t xml:space="preserve">1. Phần mềm</t>
  </si>
  <si>
    <t xml:space="preserve">Base</t>
  </si>
  <si>
    <t xml:space="preserve">Đang làm</t>
  </si>
  <si>
    <t xml:space="preserve">Cao — có chứng từ</t>
  </si>
  <si>
    <t xml:space="preserve">Call</t>
  </si>
  <si>
    <t xml:space="preserve">Khảo sát</t>
  </si>
  <si>
    <t xml:space="preserve">B1 — Chuẩn bị</t>
  </si>
  <si>
    <t xml:space="preserve">Trung lập</t>
  </si>
  <si>
    <t xml:space="preserve">Không</t>
  </si>
  <si>
    <t xml:space="preserve">Champion (ứng viên)</t>
  </si>
  <si>
    <t xml:space="preserve">Trung bình</t>
  </si>
  <si>
    <t xml:space="preserve">Một phần</t>
  </si>
  <si>
    <t xml:space="preserve">Champion</t>
  </si>
  <si>
    <t xml:space="preserve">Đang xử lý</t>
  </si>
  <si>
    <t xml:space="preserve">Passive — có thể vào</t>
  </si>
  <si>
    <t xml:space="preserve">2. Hạ tầng</t>
  </si>
  <si>
    <t xml:space="preserve">Khách hàng</t>
  </si>
  <si>
    <t xml:space="preserve">Hoàn thành</t>
  </si>
  <si>
    <t xml:space="preserve">Trung bình — do KH ước</t>
  </si>
  <si>
    <t xml:space="preserve">Email</t>
  </si>
  <si>
    <t xml:space="preserve">Demo/Showcase</t>
  </si>
  <si>
    <t xml:space="preserve">B2 — Commit</t>
  </si>
  <si>
    <t xml:space="preserve">Tiêu cực</t>
  </si>
  <si>
    <t xml:space="preserve">Champion (đã xác nhận)</t>
  </si>
  <si>
    <t xml:space="preserve">Thấp</t>
  </si>
  <si>
    <t xml:space="preserve">Hoài nghi</t>
  </si>
  <si>
    <t xml:space="preserve">Trống</t>
  </si>
  <si>
    <t xml:space="preserve">Tiêu chí quyết định</t>
  </si>
  <si>
    <t xml:space="preserve">Đã đóng</t>
  </si>
  <si>
    <t xml:space="preserve">Incumbent — đang chạy thật</t>
  </si>
  <si>
    <t xml:space="preserve">3. Triển khai &amp; tích hợp</t>
  </si>
  <si>
    <t xml:space="preserve">Quá hạn</t>
  </si>
  <si>
    <t xml:space="preserve">Thấp — Base tự giả định</t>
  </si>
  <si>
    <t xml:space="preserve">Gửi tài liệu</t>
  </si>
  <si>
    <t xml:space="preserve">POC</t>
  </si>
  <si>
    <t xml:space="preserve">B3 — Tác chiến</t>
  </si>
  <si>
    <t xml:space="preserve">Chưa rõ</t>
  </si>
  <si>
    <t xml:space="preserve">Coach</t>
  </si>
  <si>
    <t xml:space="preserve">Phản đối</t>
  </si>
  <si>
    <t xml:space="preserve">Quy trình quyết định</t>
  </si>
  <si>
    <t xml:space="preserve">Bỏ qua</t>
  </si>
  <si>
    <t xml:space="preserve">Incumbent — status quo / thủ công</t>
  </si>
  <si>
    <t xml:space="preserve">4. Nhân sự nội bộ</t>
  </si>
  <si>
    <t xml:space="preserve">Đã bỏ</t>
  </si>
  <si>
    <t xml:space="preserve">Site visit</t>
  </si>
  <si>
    <t xml:space="preserve">Báo giá</t>
  </si>
  <si>
    <t xml:space="preserve">End user</t>
  </si>
  <si>
    <t xml:space="preserve">Ngân sách</t>
  </si>
  <si>
    <t xml:space="preserve">5. Bảo mật &amp; tuân thủ</t>
  </si>
  <si>
    <t xml:space="preserve">Workshop</t>
  </si>
  <si>
    <t xml:space="preserve">Đàm phán</t>
  </si>
  <si>
    <t xml:space="preserve">Technical buyer</t>
  </si>
  <si>
    <t xml:space="preserve">Pháp lý / Mua sắm</t>
  </si>
  <si>
    <t xml:space="preserve">6. Rủi ro vận hành (quy đổi tiền)</t>
  </si>
  <si>
    <t xml:space="preserve">Khác</t>
  </si>
  <si>
    <t xml:space="preserve">Chốt hợp đồng</t>
  </si>
  <si>
    <t xml:space="preserve">Blocker</t>
  </si>
  <si>
    <t xml:space="preserve">Kỹ thuật / Tích hợp</t>
  </si>
  <si>
    <t xml:space="preserve">7. Khác (mua sắm, tài chính, vendor mgmt)</t>
  </si>
  <si>
    <t xml:space="preserve">Cạnh tranh</t>
  </si>
  <si>
    <t xml:space="preserve">Nội bộ khách hàng</t>
  </si>
  <si>
    <t xml:space="preserve">Nội bộ Base</t>
  </si>
  <si>
    <t xml:space="preserve">01 · THÔNG TIN DEAL (Battle Header)</t>
  </si>
  <si>
    <t xml:space="preserve">Ô vàng: điền tay. Ô xanh xám: công thức tự tính từ các sheet khác — không gõ đè.</t>
  </si>
  <si>
    <t xml:space="preserve">TRƯỜNG</t>
  </si>
  <si>
    <t xml:space="preserve">GIÁ TRỊ</t>
  </si>
  <si>
    <t xml:space="preserve">GHI CHÚ</t>
  </si>
  <si>
    <t xml:space="preserve">Tên khách hàng</t>
  </si>
  <si>
    <t xml:space="preserve">CÔNG TY CP ECV CORP</t>
  </si>
  <si>
    <t xml:space="preserve">Tên đầy đủ pháp nhân.</t>
  </si>
  <si>
    <t xml:space="preserve">Ngành / lĩnh vực</t>
  </si>
  <si>
    <t xml:space="preserve">Xây lắp &amp; khoáng sản</t>
  </si>
  <si>
    <t xml:space="preserve">VD: xây lắp &amp; khoáng sản, thuỷ điện, logistics, F&amp;B.</t>
  </si>
  <si>
    <t xml:space="preserve">Quy mô (nhân sự / doanh thu)</t>
  </si>
  <si>
    <t xml:space="preserve">~500 nhân sự, đa địa điểm</t>
  </si>
  <si>
    <t xml:space="preserve">Ước lượng cũng được. Ảnh hưởng đến kỳ vọng chu kỳ deal.</t>
  </si>
  <si>
    <t xml:space="preserve">Mô hình tổ chức</t>
  </si>
  <si>
    <t xml:space="preserve">Tổng công ty + công ty thành viên; VP Ninh Bình, khối công trình Quy Nhơn</t>
  </si>
  <si>
    <t xml:space="preserve">VD: tổng công ty + công ty thành viên; đa địa điểm; có công ty mẹ phía trên.</t>
  </si>
  <si>
    <t xml:space="preserve">Sản phẩm / giải pháp đang bán</t>
  </si>
  <si>
    <t xml:space="preserve">Đề án văn phòng số (Software + Data Service)</t>
  </si>
  <si>
    <t xml:space="preserve">VD: Base Work+ , HRM, Data Service, đề án văn phòng số.</t>
  </si>
  <si>
    <t xml:space="preserve">TCV mục tiêu (VNĐ)</t>
  </si>
  <si>
    <t xml:space="preserve">Chưa xác định</t>
  </si>
  <si>
    <t xml:space="preserve">Ước tính. Nếu chưa có, ghi 'Chưa xác định' — đó cũng là một dữ kiện.</t>
  </si>
  <si>
    <t xml:space="preserve">Owner phía Base</t>
  </si>
  <si>
    <t xml:space="preserve">Ms Huyền</t>
  </si>
  <si>
    <t xml:space="preserve">Người chịu trách nhiệm deal.</t>
  </si>
  <si>
    <t xml:space="preserve">Contributors phía Base</t>
  </si>
  <si>
    <t xml:space="preserve">Mr Dương, Mr Cầu, Mr Trung, Ms Yến</t>
  </si>
  <si>
    <t xml:space="preserve">Liệt kê tên, cách nhau dấu phẩy.</t>
  </si>
  <si>
    <t xml:space="preserve">Ngày bắt đầu deal</t>
  </si>
  <si>
    <t xml:space="preserve">Ngày touchpoint đầu tiên. Định dạng dd/mm/yyyy.</t>
  </si>
  <si>
    <t xml:space="preserve">Ngày review (hôm nay)</t>
  </si>
  <si>
    <t xml:space="preserve">Mốc tính toán. Định dạng dd/mm/yyyy.</t>
  </si>
  <si>
    <t xml:space="preserve">Mốc go-live mong muốn</t>
  </si>
  <si>
    <t xml:space="preserve">Nếu có. Dùng để lùi ngược lịch trình.</t>
  </si>
  <si>
    <t xml:space="preserve">Compelling event</t>
  </si>
  <si>
    <t xml:space="preserve">Không có</t>
  </si>
  <si>
    <t xml:space="preserve">Sự kiện buộc khách phải quyết trước một mốc: chu kỳ ngân sách, kiểm toán, dự án bắt buộc, hết hạn HĐ cũ… Nếu KHÔNG CÓ, ghi rõ 'Không có' — đây là trường quan trọng nhất của sheet này.</t>
  </si>
  <si>
    <t xml:space="preserve">Ngân sách khách đã nhắc đến</t>
  </si>
  <si>
    <t xml:space="preserve">Chưa</t>
  </si>
  <si>
    <t xml:space="preserve">Bất kỳ con số nào khách từng ướm. Nếu chưa ai nói về tiền, ghi 'Chưa'.</t>
  </si>
  <si>
    <t xml:space="preserve">Ai là người ký cuối cùng</t>
  </si>
  <si>
    <t xml:space="preserve">Nếu chưa biết, ghi 'Chưa rõ'.</t>
  </si>
  <si>
    <t xml:space="preserve">Deal đang nằm trong forecast quý?</t>
  </si>
  <si>
    <t xml:space="preserve">Có / Không. Dùng để đối chiếu với kết quả chấm MEDDPICC.</t>
  </si>
  <si>
    <t xml:space="preserve">CHỈ SỐ TỰ TÍNH</t>
  </si>
  <si>
    <t xml:space="preserve">CHỈ SỐ</t>
  </si>
  <si>
    <t xml:space="preserve">NGƯỠNG CẢNH BÁO</t>
  </si>
  <si>
    <t xml:space="preserve">Độ dài deal (ngày)</t>
  </si>
  <si>
    <t xml:space="preserve">&gt; 90 ngày mà chưa báo giá ⇒ soi lại B-phase.</t>
  </si>
  <si>
    <t xml:space="preserve">Số touchpoint</t>
  </si>
  <si>
    <t xml:space="preserve">Đếm số dòng có ngày hợp lệ.</t>
  </si>
  <si>
    <t xml:space="preserve">Khoảng cách trung bình (ngày)</t>
  </si>
  <si>
    <t xml:space="preserve">Tăng dần qua các chu kỳ ⇒ mức ưu tiên đang tụt.</t>
  </si>
  <si>
    <t xml:space="preserve">Ngày touchpoint gần nhất</t>
  </si>
  <si>
    <t xml:space="preserve">Số ngày im lặng hiện tại</t>
  </si>
  <si>
    <t xml:space="preserve">&gt; 2× khoảng cách trung bình ⇒ deal đang trôi.</t>
  </si>
  <si>
    <t xml:space="preserve">Ngày gặp EB gần nhất</t>
  </si>
  <si>
    <t xml:space="preserve">Cột P của sheet 02 tự lọc buổi có EB.</t>
  </si>
  <si>
    <t xml:space="preserve">Số ngày không tiếp cận EB</t>
  </si>
  <si>
    <t xml:space="preserve">&gt; 14 ngày ⇒ CỜ ĐỎ theo playbook.</t>
  </si>
  <si>
    <t xml:space="preserve">Số buổi có EB trọn vẹn</t>
  </si>
  <si>
    <t xml:space="preserve">0 hoặc 1 trên tổng ⇒ deal chưa có nền EB.</t>
  </si>
  <si>
    <t xml:space="preserve">Số buổi kết quả Tiêu cực</t>
  </si>
  <si>
    <t xml:space="preserve">Số buổi là Demo/Showcase</t>
  </si>
  <si>
    <t xml:space="preserve">Chiếm &gt; 50% touchpoint ⇒ đang mắc vòng lặp chứng minh.</t>
  </si>
  <si>
    <t xml:space="preserve">Đã có buổi Báo giá?</t>
  </si>
  <si>
    <t xml:space="preserve">CHƯA sau 90 ngày là bất thường nghiêm trọng.</t>
  </si>
  <si>
    <t xml:space="preserve">MEDDPICC — số yếu tố Đạt</t>
  </si>
  <si>
    <t xml:space="preserve">&lt; 5/8 ⇒ chưa nên nằm trong forecast chốt.</t>
  </si>
  <si>
    <t xml:space="preserve">MEDDPICC — số yếu tố Trống</t>
  </si>
  <si>
    <t xml:space="preserve">Red flag đang mở</t>
  </si>
  <si>
    <t xml:space="preserve">Red flag mức Cao đang mở</t>
  </si>
  <si>
    <t xml:space="preserve">Cam kết Base đang nợ</t>
  </si>
  <si>
    <t xml:space="preserve">Cam kết khách hàng đang nợ</t>
  </si>
  <si>
    <t xml:space="preserve">Base nợ nhiều mà khách nợ 0 ⇒ quan hệ một chiều.</t>
  </si>
  <si>
    <t xml:space="preserve">Nhượng bộ KHÔNG đổi lại gì</t>
  </si>
  <si>
    <t xml:space="preserve">&gt; 2 ⇒ giá trị cảm nhận đang bị bào mòn.</t>
  </si>
  <si>
    <t xml:space="preserve">Champion đạt đủ 4/4 hành vi</t>
  </si>
  <si>
    <t xml:space="preserve">Bằng 0 ⇒ CHƯA CÓ CHAMPION, dù có người tỏ ra thân thiện.</t>
  </si>
  <si>
    <t xml:space="preserve">02 · HÀNH TRÌNH TOUCHPOINT</t>
  </si>
  <si>
    <t xml:space="preserve">Mỗi dòng = một lần chạm thật. Ghi cả buổi bị huỷ và buổi kết quả xấu — đó là dữ liệu giá trị nhất.</t>
  </si>
  <si>
    <t xml:space="preserve">STT</t>
  </si>
  <si>
    <t xml:space="preserve">Ngày
(dd/mm/yyyy)</t>
  </si>
  <si>
    <t xml:space="preserve">Loại hoạt động</t>
  </si>
  <si>
    <t xml:space="preserve">Giai đoạn khai báo</t>
  </si>
  <si>
    <t xml:space="preserve">B-phase thực tế</t>
  </si>
  <si>
    <t xml:space="preserve">Mục tiêu của buổi</t>
  </si>
  <si>
    <t xml:space="preserve">Người tham dự — phía KH</t>
  </si>
  <si>
    <t xml:space="preserve">Người tham dự — phía Base</t>
  </si>
  <si>
    <t xml:space="preserve">EB có mặt
trọn buổi?</t>
  </si>
  <si>
    <t xml:space="preserve">Nội dung chính</t>
  </si>
  <si>
    <t xml:space="preserve">Kết quả</t>
  </si>
  <si>
    <t xml:space="preserve">Cam kết của BASE sau buổi</t>
  </si>
  <si>
    <t xml:space="preserve">Cam kết của KHÁCH sau buổi</t>
  </si>
  <si>
    <t xml:space="preserve">Lý do trễ / ghi chú bất thường</t>
  </si>
  <si>
    <t xml:space="preserve">Khoảng cách
với buổi trước</t>
  </si>
  <si>
    <t xml:space="preserve">[auto] ngày có EB</t>
  </si>
  <si>
    <t xml:space="preserve">Giới thiệu Base, nghe bài toán</t>
  </si>
  <si>
    <t xml:space="preserve">TGĐ + trưởng 5 phòng ban</t>
  </si>
  <si>
    <t xml:space="preserve">Mr Dương, Ms Huyền</t>
  </si>
  <si>
    <t xml:space="preserve">TGĐ nêu 5 bài toán cốt lõi, cam kết mục tiêu số hoá. Khách hỏi: cần tham khảo mô hình các đơn vị xây lắp khác đã số hoá như thế nào?????</t>
  </si>
  <si>
    <t xml:space="preserve">Gửi hồ sơ năng lực + case cùng ngành</t>
  </si>
  <si>
    <t xml:space="preserve">Cử đầu mối khảo sát</t>
  </si>
  <si>
    <t xml:space="preserve">Showcase giải pháp</t>
  </si>
  <si>
    <t xml:space="preserve">Trưởng các phòng ban</t>
  </si>
  <si>
    <t xml:space="preserve">Chỉ tập trung vào showcase trong khi các bộ phận có rất nhiều việc cần làm</t>
  </si>
  <si>
    <t xml:space="preserve">Chuẩn bị khảo sát chi tiết</t>
  </si>
  <si>
    <t xml:space="preserve">Bố trí lịch khảo sát</t>
  </si>
  <si>
    <t xml:space="preserve">Buổi tiếp theo lùi tới 15/5</t>
  </si>
  <si>
    <t xml:space="preserve">Khảo sát quy trình từng phòng</t>
  </si>
  <si>
    <t xml:space="preserve">Trưởng phòng nghiệp vụ</t>
  </si>
  <si>
    <t xml:space="preserve">Ms Huyền, Ms Yến</t>
  </si>
  <si>
    <t xml:space="preserve">BLĐ yêu cầu 3 dashboard. Phòng Tài chính phản đối: cần phần mềm kế toán mới ghi nhận số liệu</t>
  </si>
  <si>
    <t xml:space="preserve">Dựng 3 dashboard</t>
  </si>
  <si>
    <t xml:space="preserve">Cung cấp dữ liệu mẫu</t>
  </si>
  <si>
    <t xml:space="preserve">Trễ 15 ngày</t>
  </si>
  <si>
    <t xml:space="preserve">Showcase theo nghiệp vụ</t>
  </si>
  <si>
    <t xml:space="preserve">Ms Thủy (PTGĐ), Ms Thanh (KTT), Ms Hà (HCNS)</t>
  </si>
  <si>
    <t xml:space="preserve">Mr Dương, Ms Huyền, Bình</t>
  </si>
  <si>
    <t xml:space="preserve">PTGĐ chủ trì. Chốt Base làm Tuyên bố đáp ứng + nâng lên 4 dashboard, thêm buổi riêng về chấm công tính lương</t>
  </si>
  <si>
    <t xml:space="preserve">Tuyên bố đáp ứng + 4 dashboard + buổi chấm công lương</t>
  </si>
  <si>
    <t xml:space="preserve">Chưa có</t>
  </si>
  <si>
    <t xml:space="preserve">Trễ 20 ngày</t>
  </si>
  <si>
    <t xml:space="preserve">Trình Đề án văn phòng số</t>
  </si>
  <si>
    <t xml:space="preserve">TGĐ (rời sớm), các phòng ban</t>
  </si>
  <si>
    <t xml:space="preserve">Mr Dương, Ms Huyền, Mr Trung</t>
  </si>
  <si>
    <t xml:space="preserve">Anh Tuân có việc đột xuất nên chỉ tập trung showcase lại giải pháp Software và Data Service</t>
  </si>
  <si>
    <t xml:space="preserve">Hoàn thiện đề án</t>
  </si>
  <si>
    <t xml:space="preserve">Trễ 21 ngày. Buổi 6 chưa chốt được ngày</t>
  </si>
  <si>
    <t xml:space="preserve">03 · BẢN ĐỒ NGƯỜI (Power Map + Champion Test)</t>
  </si>
  <si>
    <t xml:space="preserve">Bốn cột TEST là bốn hành vi chủ động của Champion thật theo playbook. Đủ 4/4 mới gọi là Champion.</t>
  </si>
  <si>
    <t xml:space="preserve">Họ tên</t>
  </si>
  <si>
    <t xml:space="preserve">Chức danh</t>
  </si>
  <si>
    <t xml:space="preserve">Phòng ban</t>
  </si>
  <si>
    <t xml:space="preserve">Vai trò trong buying group</t>
  </si>
  <si>
    <t xml:space="preserve">Influence
(ảnh hưởng thật)</t>
  </si>
  <si>
    <t xml:space="preserve">Authority
(thẩm quyền)</t>
  </si>
  <si>
    <t xml:space="preserve">[auto]
Power Map</t>
  </si>
  <si>
    <t xml:space="preserve">Thái độ với đề án</t>
  </si>
  <si>
    <t xml:space="preserve">KPI cá nhân có đẹp lên
nếu deal chạy?</t>
  </si>
  <si>
    <t xml:space="preserve">Có quyền phủ quyết?</t>
  </si>
  <si>
    <t xml:space="preserve">TEST 1 — chủ động giới thiệu
Base với người khác?</t>
  </si>
  <si>
    <t xml:space="preserve">TEST 2 — chủ động gọi/nhắn
về đối thủ hoặc rủi ro?</t>
  </si>
  <si>
    <t xml:space="preserve">TEST 3 — muốn kết nối với
reference của Base?</t>
  </si>
  <si>
    <t xml:space="preserve">TEST 4 — yêu cầu gặp
lãnh đạo cấp cao Base?</t>
  </si>
  <si>
    <t xml:space="preserve">[auto] Điểm
Champion 0–4</t>
  </si>
  <si>
    <t xml:space="preserve">Lần tương tác gần nhất</t>
  </si>
  <si>
    <t xml:space="preserve">Ghi chú</t>
  </si>
  <si>
    <t xml:space="preserve">Anh Tuân</t>
  </si>
  <si>
    <t xml:space="preserve">Tổng giám đốc</t>
  </si>
  <si>
    <t xml:space="preserve">Ban TGĐ</t>
  </si>
  <si>
    <t xml:space="preserve">Phát động đề án, vắng buổi trình phương án</t>
  </si>
  <si>
    <t xml:space="preserve">Ms Thủy</t>
  </si>
  <si>
    <t xml:space="preserve">Phó tổng giám đốc</t>
  </si>
  <si>
    <t xml:space="preserve">Chủ trì buổi 4 — buổi duy nhất tích cực sau buổi 1</t>
  </si>
  <si>
    <t xml:space="preserve">Ms Thanh</t>
  </si>
  <si>
    <t xml:space="preserve">Kế toán trưởng</t>
  </si>
  <si>
    <t xml:space="preserve">Kế toán</t>
  </si>
  <si>
    <t xml:space="preserve">Chị Vân</t>
  </si>
  <si>
    <t xml:space="preserve">Trưởng phòng</t>
  </si>
  <si>
    <t xml:space="preserve">Vật tư &amp; Thiết bị</t>
  </si>
  <si>
    <t xml:space="preserve">Đã nêu lo ngại</t>
  </si>
  <si>
    <t xml:space="preserve">Ms Hà</t>
  </si>
  <si>
    <t xml:space="preserve">HCNS</t>
  </si>
  <si>
    <t xml:space="preserve">Anh C</t>
  </si>
  <si>
    <t xml:space="preserve">Chuyên viên</t>
  </si>
  <si>
    <t xml:space="preserve">Tài chính</t>
  </si>
  <si>
    <t xml:space="preserve">Nguồn của red flag</t>
  </si>
  <si>
    <t xml:space="preserve">IA = ảnh hưởng cao + thẩm quyền cao (mục tiêu chính) · INA = ảnh hưởng cao, không thẩm quyền (technical champion tiềm năng) · ANI = có chức danh nhưng không ảnh hưởng thật (BẪY: gặp được họ không có nghĩa là đang tiến gần EB) · NINA = không ảnh hưởng, không thẩm quyền.</t>
  </si>
  <si>
    <t xml:space="preserve">04 · CHẤM MEDDPICC</t>
  </si>
  <si>
    <t xml:space="preserve">Chỉ ghi 'Đạt' khi có bằng chứng kiểm chứng được từ phía khách hàng. Cảm giác tốt không phải bằng chứng.</t>
  </si>
  <si>
    <t xml:space="preserve">Yếu tố</t>
  </si>
  <si>
    <t xml:space="preserve">Câu hỏi kiểm chứng</t>
  </si>
  <si>
    <t xml:space="preserve">Trạng thái</t>
  </si>
  <si>
    <t xml:space="preserve">Bằng chứng cụ thể</t>
  </si>
  <si>
    <t xml:space="preserve">Khoảng trống còn lại</t>
  </si>
  <si>
    <t xml:space="preserve">Hành động để đóng</t>
  </si>
  <si>
    <t xml:space="preserve">Owner</t>
  </si>
  <si>
    <t xml:space="preserve">Hạn</t>
  </si>
  <si>
    <t xml:space="preserve">M — Metrics</t>
  </si>
  <si>
    <t xml:space="preserve">Đã lượng hoá as-is / to-be chưa? Có TCO baseline theo 7 nhóm chi phí chưa? Khách có xác nhận con số không?</t>
  </si>
  <si>
    <t xml:space="preserve">Không có as-is/to-be nào được lượng hoá</t>
  </si>
  <si>
    <t xml:space="preserve">E — Economic Buyer</t>
  </si>
  <si>
    <t xml:space="preserve">Đã gặp trực tiếp chưa? Có EB Alignment bằng văn bản/biên bản/email chưa? EB có nói ra ưu tiên và khung ngân sách không?</t>
  </si>
  <si>
    <t xml:space="preserve">Gặp buổi 1, chưa có alignment văn bản</t>
  </si>
  <si>
    <t xml:space="preserve">D — Decision Criteria</t>
  </si>
  <si>
    <t xml:space="preserve">Ai viết tiêu chí đánh giá? Base có tham gia định hình không? Có tiêu chí nào 'sai' đang chặn không?</t>
  </si>
  <si>
    <t xml:space="preserve">Tiêu chí do từng phòng ban ECV tự viết</t>
  </si>
  <si>
    <t xml:space="preserve">D — Decision Process</t>
  </si>
  <si>
    <t xml:space="preserve">Ai ký? Qua mấy cấp? Ngưỡng phê duyệt bao nhiêu? HĐQT/công ty mẹ có tham gia không?</t>
  </si>
  <si>
    <t xml:space="preserve">Chưa rõ ai ký, có HĐQT hay không</t>
  </si>
  <si>
    <t xml:space="preserve">P — Paper Process</t>
  </si>
  <si>
    <t xml:space="preserve">Đã chạm pháp chế / mua sắm chưa? Mẫu hợp đồng của ai? Thời gian xử lý hồ sơ bao lâu?</t>
  </si>
  <si>
    <t xml:space="preserve">Chưa chạm pháp chế/mua sắm</t>
  </si>
  <si>
    <t xml:space="preserve">I — Identify Pain</t>
  </si>
  <si>
    <t xml:space="preserve">Nỗi đau đã được nêu bởi ai — EB hay chỉ trưởng phòng? Đã gắn số vào chưa? Ai chịu trách nhiệm về nỗi đau đó?</t>
  </si>
  <si>
    <t xml:space="preserve">5 bài toán cốt lõi TGĐ nêu, chưa gắn số</t>
  </si>
  <si>
    <t xml:space="preserve">C — Champion</t>
  </si>
  <si>
    <t xml:space="preserve">Có ai đạt đủ 4/4 hành vi chủ động chưa? Người đó có KPI cá nhân được cải thiện không? Có tiếp cận được EB không?</t>
  </si>
  <si>
    <t xml:space="preserve">Ms Thủy là ứng viên, chưa test</t>
  </si>
  <si>
    <t xml:space="preserve">C — Competition</t>
  </si>
  <si>
    <t xml:space="preserve">Có đối thủ Active không? Incumbent là gì — kể cả status quo/thủ công? Đã có kế hoạch chuyển đổi và risk reversal chưa?</t>
  </si>
  <si>
    <t xml:space="preserve">Không có Active; Incumbent = status quo</t>
  </si>
  <si>
    <t xml:space="preserve">Quy tắc: &lt; 5/8 yếu tố 'Đạt' ⇒ deal chưa đủ điều kiện nằm trong forecast chốt của quý.</t>
  </si>
  <si>
    <t xml:space="preserve">05 · ĐIỂM BẤT THƯỜNG / RED FLAG</t>
  </si>
  <si>
    <t xml:space="preserve">Ghi cả cờ đỏ do khách gây ra lẫn cờ đỏ do Base tự gây ra. Cột 'Hành động khắc phục' sẽ được Claude phản biện.</t>
  </si>
  <si>
    <t xml:space="preserve">Ngày phát hiện</t>
  </si>
  <si>
    <t xml:space="preserve">Touchpoint
liên quan (STT)</t>
  </si>
  <si>
    <t xml:space="preserve">Loại</t>
  </si>
  <si>
    <t xml:space="preserve">Mô tả sự việc (ghi nguyên văn nếu có)</t>
  </si>
  <si>
    <t xml:space="preserve">Mức độ</t>
  </si>
  <si>
    <t xml:space="preserve">Hành động khắc phục đang làm</t>
  </si>
  <si>
    <t xml:space="preserve">Kết quả thực tế</t>
  </si>
  <si>
    <t xml:space="preserve">Phòng Tài chính yêu cầu phải có phần mềm kế toán mới ghi nhận được số liệu</t>
  </si>
  <si>
    <t xml:space="preserve">Vẽ techmap tích hợp phần mềm kế toán</t>
  </si>
  <si>
    <t xml:space="preserve">06 · ĐỐI THỦ &amp; PHƯƠNG ÁN THAY THẾ</t>
  </si>
  <si>
    <t xml:space="preserve">LƯU Ý: nếu không có vendor nào cạnh tranh, vẫn phải khai status quo (Excel/giấy tờ/quy trình thủ công) là Incumbent.</t>
  </si>
  <si>
    <t xml:space="preserve">Tên đối thủ / phương án thay thế</t>
  </si>
  <si>
    <t xml:space="preserve">Điểm mạnh của họ</t>
  </si>
  <si>
    <t xml:space="preserve">Điểm yếu khai thác được</t>
  </si>
  <si>
    <t xml:space="preserve">Ảnh hưởng ước tính tới P(Win)</t>
  </si>
  <si>
    <t xml:space="preserve">Điều kiện cổng phải đạt trước khi lên B3</t>
  </si>
  <si>
    <t xml:space="preserve">Bằng chứng / nguồn tin</t>
  </si>
  <si>
    <t xml:space="preserve">Quy trình thủ công hiện tại (Excel + giấy tờ)</t>
  </si>
  <si>
    <t xml:space="preserve">Không tốn tiền, không ai phải học lại</t>
  </si>
  <si>
    <t xml:space="preserve">Không tổng hợp được số liệu đa địa điểm</t>
  </si>
  <si>
    <t xml:space="preserve">-20% đến -35%</t>
  </si>
  <si>
    <t xml:space="preserve">EB alignment + migration plan + risk reversal</t>
  </si>
  <si>
    <t xml:space="preserve">Ghi chú buổi 2</t>
  </si>
  <si>
    <t xml:space="preserve">07 · VALUE CASE — TCO BASELINE THEO 7 NHÓM</t>
  </si>
  <si>
    <t xml:space="preserve">Bảy nhóm chi phí lấy đúng theo playbook. Mỗi dòng phải có nguồn bằng chứng — nếu không có, ghi 'Base tự giả định'.</t>
  </si>
  <si>
    <t xml:space="preserve">Nhóm chi phí (TCO)</t>
  </si>
  <si>
    <t xml:space="preserve">Business pain tương ứng</t>
  </si>
  <si>
    <t xml:space="preserve">As-is (hiện trạng, có số)</t>
  </si>
  <si>
    <t xml:space="preserve">To-be (sau khi triển khai)</t>
  </si>
  <si>
    <t xml:space="preserve">Đơn vị</t>
  </si>
  <si>
    <t xml:space="preserve">Chi phí hiện tại /năm (VNĐ)</t>
  </si>
  <si>
    <t xml:space="preserve">Tiết kiệm hoặc uplift /năm (VNĐ)</t>
  </si>
  <si>
    <t xml:space="preserve">Nguồn bằng chứng</t>
  </si>
  <si>
    <t xml:space="preserve">Độ tin cậy</t>
  </si>
  <si>
    <t xml:space="preserve">Tổng hợp báo cáo đa địa điểm làm thủ công</t>
  </si>
  <si>
    <t xml:space="preserve">3 người × 6 ngày/tháng</t>
  </si>
  <si>
    <t xml:space="preserve">1 người × 1 ngày/tháng</t>
  </si>
  <si>
    <t xml:space="preserve">công/tháng</t>
  </si>
  <si>
    <t xml:space="preserve">Khách cung cấp trong buổi khảo sát 16/05</t>
  </si>
  <si>
    <t xml:space="preserve">TỔNG chi phí hiện tại /năm</t>
  </si>
  <si>
    <t xml:space="preserve">TỔNG tiết kiệm + uplift /năm</t>
  </si>
  <si>
    <t xml:space="preserve">Đầu tư đề xuất (VNĐ, điền tay)</t>
  </si>
  <si>
    <t xml:space="preserve">Payback (tháng)</t>
  </si>
  <si>
    <t xml:space="preserve">08 · CAM KẾT HAI CHIỀU</t>
  </si>
  <si>
    <t xml:space="preserve">Cột G là cột quan trọng nhất cả file: mỗi lần Base cho đi mà không đổi lại gì, ghi rõ 'Không có'.</t>
  </si>
  <si>
    <t xml:space="preserve">Bên cam kết</t>
  </si>
  <si>
    <t xml:space="preserve">Nội dung cam kết</t>
  </si>
  <si>
    <t xml:space="preserve">Phát sinh ở touchpoint (STT)</t>
  </si>
  <si>
    <t xml:space="preserve">Ngày cam kết</t>
  </si>
  <si>
    <t xml:space="preserve">Đổi lại được điều kiện ràng buộc gì?</t>
  </si>
  <si>
    <t xml:space="preserve">Gửi hồ sơ năng lực + case cùng ngành xây lắp</t>
  </si>
  <si>
    <t xml:space="preserve">Dựng 3 dashboard theo yêu cầu BLĐ</t>
  </si>
  <si>
    <t xml:space="preserve">Tuyên bố đáp ứng + nâng lên 4 dashboard</t>
  </si>
  <si>
    <t xml:space="preserve">Buổi riêng về chấm công tính lương</t>
  </si>
  <si>
    <t xml:space="preserve">Cử đầu mối phối hợp khảo sát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</si>
</sst>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General"/>
    <numFmt numFmtId="167" formatCode="#,##0"/>
    <numFmt numFmtId="168" formatCode="0.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7191A"/>
      <name val="Arial"/>
      <family val="0"/>
      <charset val="1"/>
    </font>
    <font>
      <i val="true"/>
      <sz val="9"/>
      <color rgb="FF7A6A3A"/>
      <name val="Arial"/>
      <family val="0"/>
      <charset val="1"/>
    </font>
    <font>
      <b val="true"/>
      <sz val="10"/>
      <color rgb="FF1F2A2E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7191A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2A2E"/>
      <name val="Arial"/>
      <family val="0"/>
      <charset val="1"/>
    </font>
    <font>
      <b val="true"/>
      <sz val="10"/>
      <color rgb="FF1F4E44"/>
      <name val="Arial"/>
      <family val="0"/>
      <charset val="1"/>
    </font>
    <font>
      <i val="true"/>
      <sz val="9"/>
      <color rgb="FF8A8A80"/>
      <name val="Arial"/>
      <family val="0"/>
      <charset val="1"/>
    </font>
    <font>
      <b val="true"/>
      <sz val="9"/>
      <color rgb="FF1F4E44"/>
      <name val="Arial"/>
      <family val="0"/>
      <charset val="1"/>
    </font>
    <font>
      <b val="true"/>
      <i val="true"/>
      <sz val="9"/>
      <color rgb="FFA83214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2A2E"/>
        <bgColor rgb="FF17191A"/>
      </patternFill>
    </fill>
    <fill>
      <patternFill patternType="solid">
        <fgColor rgb="FFFFF6D9"/>
        <bgColor rgb="FFF1F1EC"/>
      </patternFill>
    </fill>
    <fill>
      <patternFill patternType="solid">
        <fgColor rgb="FFE8EDEC"/>
        <bgColor rgb="FFF1F1EC"/>
      </patternFill>
    </fill>
    <fill>
      <patternFill patternType="solid">
        <fgColor rgb="FFF1F1EC"/>
        <bgColor rgb="FFE8EDE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C8C0"/>
      </left>
      <right style="thin">
        <color rgb="FFC8C8C0"/>
      </right>
      <top style="thin">
        <color rgb="FFC8C8C0"/>
      </top>
      <bottom style="thin">
        <color rgb="FFC8C8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2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3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4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14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3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2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2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A6A3A"/>
      <rgbColor rgb="FF800080"/>
      <rgbColor rgb="FF008080"/>
      <rgbColor rgb="FFC8C8C0"/>
      <rgbColor rgb="FF8A8A80"/>
      <rgbColor rgb="FF9999FF"/>
      <rgbColor rgb="FF993366"/>
      <rgbColor rgb="FFFFF6D9"/>
      <rgbColor rgb="FFE8ED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1EC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44"/>
      <rgbColor rgb="FF339966"/>
      <rgbColor rgb="FF17191A"/>
      <rgbColor rgb="FF333300"/>
      <rgbColor rgb="FFA83214"/>
      <rgbColor rgb="FF993366"/>
      <rgbColor rgb="FF333399"/>
      <rgbColor rgb="FF1F2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96"/>
  </cols>
  <sheetData>
    <row r="1" customFormat="false" ht="19.5" hidden="false" customHeight="true" outlineLevel="0" collapsed="false">
      <c r="A1" s="2" t="s">
        <v>0</v>
      </c>
      <c r="B1" s="2"/>
    </row>
    <row r="2" customFormat="false" ht="15.75" hidden="false" customHeight="true" outlineLevel="0" collapsed="false">
      <c r="A2" s="3" t="s">
        <v>1</v>
      </c>
      <c r="B2" s="3"/>
    </row>
    <row r="4" customFormat="false" ht="15" hidden="false" customHeight="true" outlineLevel="0" collapsed="false">
      <c r="A4" s="4" t="s">
        <v>2</v>
      </c>
      <c r="B4" s="5"/>
    </row>
    <row r="5" customFormat="false" ht="15" hidden="false" customHeight="true" outlineLevel="0" collapsed="false">
      <c r="A5" s="6" t="s">
        <v>3</v>
      </c>
      <c r="B5" s="5" t="s">
        <v>4</v>
      </c>
    </row>
    <row r="6" customFormat="false" ht="15" hidden="false" customHeight="true" outlineLevel="0" collapsed="false">
      <c r="A6" s="6" t="s">
        <v>5</v>
      </c>
      <c r="B6" s="5" t="s">
        <v>6</v>
      </c>
    </row>
    <row r="7" customFormat="false" ht="23.25" hidden="false" customHeight="true" outlineLevel="0" collapsed="false">
      <c r="A7" s="6" t="s">
        <v>7</v>
      </c>
      <c r="B7" s="5" t="s">
        <v>8</v>
      </c>
    </row>
    <row r="8" customFormat="false" ht="15" hidden="false" customHeight="true" outlineLevel="0" collapsed="false">
      <c r="A8" s="6" t="s">
        <v>9</v>
      </c>
      <c r="B8" s="5" t="s">
        <v>10</v>
      </c>
    </row>
    <row r="9" customFormat="false" ht="15" hidden="false" customHeight="true" outlineLevel="0" collapsed="false">
      <c r="A9" s="4"/>
      <c r="B9" s="5"/>
    </row>
    <row r="10" customFormat="false" ht="15" hidden="false" customHeight="true" outlineLevel="0" collapsed="false">
      <c r="A10" s="4" t="s">
        <v>11</v>
      </c>
      <c r="B10" s="5"/>
    </row>
    <row r="11" customFormat="false" ht="15" hidden="false" customHeight="true" outlineLevel="0" collapsed="false">
      <c r="A11" s="6" t="s">
        <v>12</v>
      </c>
      <c r="B11" s="5" t="s">
        <v>13</v>
      </c>
    </row>
    <row r="12" customFormat="false" ht="15" hidden="false" customHeight="true" outlineLevel="0" collapsed="false">
      <c r="A12" s="6" t="s">
        <v>14</v>
      </c>
      <c r="B12" s="5" t="s">
        <v>15</v>
      </c>
    </row>
    <row r="13" customFormat="false" ht="15" hidden="false" customHeight="true" outlineLevel="0" collapsed="false">
      <c r="A13" s="6" t="s">
        <v>16</v>
      </c>
      <c r="B13" s="5" t="s">
        <v>17</v>
      </c>
    </row>
    <row r="14" customFormat="false" ht="15" hidden="false" customHeight="true" outlineLevel="0" collapsed="false">
      <c r="A14" s="4"/>
      <c r="B14" s="5"/>
    </row>
    <row r="15" customFormat="false" ht="15" hidden="false" customHeight="true" outlineLevel="0" collapsed="false">
      <c r="A15" s="4" t="s">
        <v>18</v>
      </c>
      <c r="B15" s="5"/>
    </row>
    <row r="16" customFormat="false" ht="23.25" hidden="false" customHeight="true" outlineLevel="0" collapsed="false">
      <c r="A16" s="6" t="s">
        <v>19</v>
      </c>
      <c r="B16" s="5" t="s">
        <v>20</v>
      </c>
    </row>
    <row r="17" customFormat="false" ht="15" hidden="false" customHeight="true" outlineLevel="0" collapsed="false">
      <c r="A17" s="6" t="s">
        <v>21</v>
      </c>
      <c r="B17" s="5" t="s">
        <v>22</v>
      </c>
    </row>
    <row r="18" customFormat="false" ht="23.25" hidden="false" customHeight="true" outlineLevel="0" collapsed="false">
      <c r="A18" s="6" t="s">
        <v>23</v>
      </c>
      <c r="B18" s="5" t="s">
        <v>24</v>
      </c>
    </row>
    <row r="19" customFormat="false" ht="15" hidden="false" customHeight="true" outlineLevel="0" collapsed="false">
      <c r="A19" s="6" t="s">
        <v>25</v>
      </c>
      <c r="B19" s="5" t="s">
        <v>26</v>
      </c>
    </row>
    <row r="20" customFormat="false" ht="15" hidden="false" customHeight="true" outlineLevel="0" collapsed="false">
      <c r="A20" s="4"/>
      <c r="B20" s="5"/>
    </row>
    <row r="21" customFormat="false" ht="15" hidden="false" customHeight="true" outlineLevel="0" collapsed="false">
      <c r="A21" s="4" t="s">
        <v>27</v>
      </c>
      <c r="B21" s="5"/>
    </row>
    <row r="22" customFormat="false" ht="15" hidden="false" customHeight="true" outlineLevel="0" collapsed="false">
      <c r="A22" s="6" t="s">
        <v>28</v>
      </c>
      <c r="B22" s="5" t="s">
        <v>29</v>
      </c>
    </row>
    <row r="23" customFormat="false" ht="23.25" hidden="false" customHeight="true" outlineLevel="0" collapsed="false">
      <c r="A23" s="6" t="s">
        <v>30</v>
      </c>
      <c r="B23" s="5" t="s">
        <v>31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</row>
    <row r="2" customFormat="false" ht="15" hidden="false" customHeight="true" outlineLevel="0" collapsed="false">
      <c r="A2" s="1" t="s">
        <v>48</v>
      </c>
      <c r="B2" s="1" t="s">
        <v>49</v>
      </c>
      <c r="C2" s="1" t="s">
        <v>50</v>
      </c>
      <c r="D2" s="1" t="s">
        <v>51</v>
      </c>
      <c r="E2" s="1" t="s">
        <v>52</v>
      </c>
      <c r="F2" s="1" t="s">
        <v>53</v>
      </c>
      <c r="G2" s="1" t="s">
        <v>54</v>
      </c>
      <c r="H2" s="1" t="s">
        <v>55</v>
      </c>
      <c r="I2" s="1" t="s">
        <v>56</v>
      </c>
      <c r="J2" s="1" t="s">
        <v>53</v>
      </c>
      <c r="K2" s="1" t="s">
        <v>57</v>
      </c>
      <c r="L2" s="1" t="s">
        <v>58</v>
      </c>
      <c r="M2" s="1" t="s">
        <v>59</v>
      </c>
      <c r="N2" s="1" t="s">
        <v>60</v>
      </c>
      <c r="O2" s="1" t="s">
        <v>61</v>
      </c>
      <c r="P2" s="1" t="s">
        <v>62</v>
      </c>
    </row>
    <row r="3" customFormat="false" ht="15" hidden="false" customHeight="true" outlineLevel="0" collapsed="false">
      <c r="A3" s="1" t="s">
        <v>63</v>
      </c>
      <c r="B3" s="1" t="s">
        <v>64</v>
      </c>
      <c r="C3" s="1" t="s">
        <v>65</v>
      </c>
      <c r="D3" s="1" t="s">
        <v>66</v>
      </c>
      <c r="E3" s="1" t="s">
        <v>67</v>
      </c>
      <c r="F3" s="1" t="s">
        <v>68</v>
      </c>
      <c r="G3" s="1" t="s">
        <v>69</v>
      </c>
      <c r="H3" s="1" t="s">
        <v>66</v>
      </c>
      <c r="I3" s="1" t="s">
        <v>70</v>
      </c>
      <c r="J3" s="1" t="s">
        <v>71</v>
      </c>
      <c r="K3" s="1" t="s">
        <v>72</v>
      </c>
      <c r="L3" s="1" t="s">
        <v>73</v>
      </c>
      <c r="M3" s="1" t="s">
        <v>74</v>
      </c>
      <c r="N3" s="1" t="s">
        <v>75</v>
      </c>
      <c r="O3" s="1" t="s">
        <v>76</v>
      </c>
      <c r="P3" s="1" t="s">
        <v>77</v>
      </c>
    </row>
    <row r="4" customFormat="false" ht="15" hidden="false" customHeight="true" outlineLevel="0" collapsed="false">
      <c r="A4" s="1" t="s">
        <v>78</v>
      </c>
      <c r="B4" s="1" t="s">
        <v>79</v>
      </c>
      <c r="C4" s="1" t="s">
        <v>80</v>
      </c>
      <c r="D4" s="1" t="s">
        <v>81</v>
      </c>
      <c r="E4" s="1" t="s">
        <v>70</v>
      </c>
      <c r="F4" s="1" t="s">
        <v>82</v>
      </c>
      <c r="G4" s="1" t="s">
        <v>83</v>
      </c>
      <c r="H4" s="1" t="s">
        <v>84</v>
      </c>
      <c r="I4" s="1" t="s">
        <v>85</v>
      </c>
      <c r="J4" s="1" t="s">
        <v>86</v>
      </c>
      <c r="K4" s="1" t="s">
        <v>87</v>
      </c>
      <c r="L4" s="1" t="s">
        <v>88</v>
      </c>
      <c r="M4" s="1" t="s">
        <v>89</v>
      </c>
      <c r="O4" s="1" t="s">
        <v>90</v>
      </c>
      <c r="P4" s="1" t="s">
        <v>91</v>
      </c>
    </row>
    <row r="5" customFormat="false" ht="15" hidden="false" customHeight="true" outlineLevel="0" collapsed="false">
      <c r="A5" s="1" t="s">
        <v>92</v>
      </c>
      <c r="B5" s="1" t="s">
        <v>93</v>
      </c>
      <c r="C5" s="1" t="s">
        <v>94</v>
      </c>
      <c r="E5" s="1" t="s">
        <v>95</v>
      </c>
      <c r="F5" s="1" t="s">
        <v>96</v>
      </c>
      <c r="H5" s="1" t="s">
        <v>97</v>
      </c>
      <c r="J5" s="1" t="s">
        <v>98</v>
      </c>
      <c r="K5" s="1" t="s">
        <v>99</v>
      </c>
      <c r="L5" s="1" t="s">
        <v>100</v>
      </c>
      <c r="M5" s="1" t="s">
        <v>101</v>
      </c>
      <c r="O5" s="1" t="s">
        <v>102</v>
      </c>
    </row>
    <row r="6" customFormat="false" ht="15" hidden="false" customHeight="true" outlineLevel="0" collapsed="false">
      <c r="A6" s="1" t="s">
        <v>103</v>
      </c>
      <c r="B6" s="1" t="s">
        <v>104</v>
      </c>
      <c r="F6" s="1" t="s">
        <v>105</v>
      </c>
      <c r="H6" s="1" t="s">
        <v>95</v>
      </c>
      <c r="J6" s="1" t="s">
        <v>106</v>
      </c>
      <c r="M6" s="1" t="s">
        <v>107</v>
      </c>
    </row>
    <row r="7" customFormat="false" ht="15" hidden="false" customHeight="true" outlineLevel="0" collapsed="false">
      <c r="A7" s="1" t="s">
        <v>108</v>
      </c>
      <c r="B7" s="1" t="s">
        <v>109</v>
      </c>
      <c r="F7" s="1" t="s">
        <v>110</v>
      </c>
      <c r="J7" s="1" t="s">
        <v>111</v>
      </c>
      <c r="M7" s="1" t="s">
        <v>112</v>
      </c>
    </row>
    <row r="8" customFormat="false" ht="15" hidden="false" customHeight="true" outlineLevel="0" collapsed="false">
      <c r="A8" s="1" t="s">
        <v>113</v>
      </c>
      <c r="B8" s="1" t="s">
        <v>114</v>
      </c>
      <c r="F8" s="1" t="s">
        <v>115</v>
      </c>
      <c r="J8" s="1" t="s">
        <v>116</v>
      </c>
      <c r="M8" s="1" t="s">
        <v>117</v>
      </c>
    </row>
    <row r="9" customFormat="false" ht="15" hidden="false" customHeight="true" outlineLevel="0" collapsed="false">
      <c r="F9" s="1" t="s">
        <v>95</v>
      </c>
      <c r="J9" s="1" t="s">
        <v>118</v>
      </c>
    </row>
    <row r="10" customFormat="false" ht="15" hidden="false" customHeight="true" outlineLevel="0" collapsed="false">
      <c r="J10" s="1" t="s">
        <v>119</v>
      </c>
    </row>
    <row r="11" customFormat="false" ht="15" hidden="false" customHeight="true" outlineLevel="0" collapsed="false">
      <c r="J11" s="1" t="s"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46"/>
    <col collapsed="false" customWidth="true" hidden="false" outlineLevel="0" max="3" min="3" style="1" width="62"/>
  </cols>
  <sheetData>
    <row r="1" customFormat="false" ht="19.5" hidden="false" customHeight="true" outlineLevel="0" collapsed="false">
      <c r="A1" s="2" t="s">
        <v>121</v>
      </c>
      <c r="B1" s="2"/>
      <c r="C1" s="2"/>
    </row>
    <row r="2" customFormat="false" ht="15.75" hidden="false" customHeight="true" outlineLevel="0" collapsed="false">
      <c r="A2" s="3" t="s">
        <v>122</v>
      </c>
      <c r="B2" s="3"/>
      <c r="C2" s="3"/>
    </row>
    <row r="4" customFormat="false" ht="19.5" hidden="false" customHeight="true" outlineLevel="0" collapsed="false">
      <c r="A4" s="7" t="s">
        <v>123</v>
      </c>
      <c r="B4" s="7" t="s">
        <v>124</v>
      </c>
      <c r="C4" s="7" t="s">
        <v>125</v>
      </c>
    </row>
    <row r="5" customFormat="false" ht="30" hidden="false" customHeight="true" outlineLevel="0" collapsed="false">
      <c r="A5" s="8" t="s">
        <v>126</v>
      </c>
      <c r="B5" s="9" t="s">
        <v>127</v>
      </c>
      <c r="C5" s="10" t="s">
        <v>128</v>
      </c>
    </row>
    <row r="6" customFormat="false" ht="30" hidden="false" customHeight="true" outlineLevel="0" collapsed="false">
      <c r="A6" s="8" t="s">
        <v>129</v>
      </c>
      <c r="B6" s="9" t="s">
        <v>130</v>
      </c>
      <c r="C6" s="10" t="s">
        <v>131</v>
      </c>
    </row>
    <row r="7" customFormat="false" ht="30" hidden="false" customHeight="true" outlineLevel="0" collapsed="false">
      <c r="A7" s="8" t="s">
        <v>132</v>
      </c>
      <c r="B7" s="9" t="s">
        <v>133</v>
      </c>
      <c r="C7" s="10" t="s">
        <v>134</v>
      </c>
    </row>
    <row r="8" customFormat="false" ht="30" hidden="false" customHeight="true" outlineLevel="0" collapsed="false">
      <c r="A8" s="8" t="s">
        <v>135</v>
      </c>
      <c r="B8" s="9" t="s">
        <v>136</v>
      </c>
      <c r="C8" s="10" t="s">
        <v>137</v>
      </c>
    </row>
    <row r="9" customFormat="false" ht="30" hidden="false" customHeight="true" outlineLevel="0" collapsed="false">
      <c r="A9" s="8" t="s">
        <v>138</v>
      </c>
      <c r="B9" s="9" t="s">
        <v>139</v>
      </c>
      <c r="C9" s="10" t="s">
        <v>140</v>
      </c>
    </row>
    <row r="10" customFormat="false" ht="30" hidden="false" customHeight="true" outlineLevel="0" collapsed="false">
      <c r="A10" s="8" t="s">
        <v>141</v>
      </c>
      <c r="B10" s="9" t="s">
        <v>142</v>
      </c>
      <c r="C10" s="10" t="s">
        <v>143</v>
      </c>
    </row>
    <row r="11" customFormat="false" ht="30" hidden="false" customHeight="true" outlineLevel="0" collapsed="false">
      <c r="A11" s="8" t="s">
        <v>144</v>
      </c>
      <c r="B11" s="9" t="s">
        <v>145</v>
      </c>
      <c r="C11" s="10" t="s">
        <v>146</v>
      </c>
    </row>
    <row r="12" customFormat="false" ht="30" hidden="false" customHeight="true" outlineLevel="0" collapsed="false">
      <c r="A12" s="8" t="s">
        <v>147</v>
      </c>
      <c r="B12" s="9" t="s">
        <v>148</v>
      </c>
      <c r="C12" s="10" t="s">
        <v>149</v>
      </c>
    </row>
    <row r="13" customFormat="false" ht="30" hidden="false" customHeight="true" outlineLevel="0" collapsed="false">
      <c r="A13" s="8" t="s">
        <v>150</v>
      </c>
      <c r="B13" s="11" t="n">
        <v>46130</v>
      </c>
      <c r="C13" s="10" t="s">
        <v>151</v>
      </c>
    </row>
    <row r="14" customFormat="false" ht="30" hidden="false" customHeight="true" outlineLevel="0" collapsed="false">
      <c r="A14" s="8" t="s">
        <v>152</v>
      </c>
      <c r="B14" s="11" t="n">
        <v>46242</v>
      </c>
      <c r="C14" s="10" t="s">
        <v>153</v>
      </c>
    </row>
    <row r="15" customFormat="false" ht="30" hidden="false" customHeight="true" outlineLevel="0" collapsed="false">
      <c r="A15" s="8" t="s">
        <v>154</v>
      </c>
      <c r="B15" s="11"/>
      <c r="C15" s="10" t="s">
        <v>155</v>
      </c>
    </row>
    <row r="16" customFormat="false" ht="30" hidden="false" customHeight="true" outlineLevel="0" collapsed="false">
      <c r="A16" s="8" t="s">
        <v>156</v>
      </c>
      <c r="B16" s="9" t="s">
        <v>157</v>
      </c>
      <c r="C16" s="10" t="s">
        <v>158</v>
      </c>
    </row>
    <row r="17" customFormat="false" ht="30" hidden="false" customHeight="true" outlineLevel="0" collapsed="false">
      <c r="A17" s="8" t="s">
        <v>159</v>
      </c>
      <c r="B17" s="9" t="s">
        <v>160</v>
      </c>
      <c r="C17" s="10" t="s">
        <v>161</v>
      </c>
    </row>
    <row r="18" customFormat="false" ht="30" hidden="false" customHeight="true" outlineLevel="0" collapsed="false">
      <c r="A18" s="8" t="s">
        <v>162</v>
      </c>
      <c r="B18" s="9" t="s">
        <v>95</v>
      </c>
      <c r="C18" s="10" t="s">
        <v>163</v>
      </c>
    </row>
    <row r="19" customFormat="false" ht="30" hidden="false" customHeight="true" outlineLevel="0" collapsed="false">
      <c r="A19" s="8" t="s">
        <v>164</v>
      </c>
      <c r="B19" s="9" t="s">
        <v>52</v>
      </c>
      <c r="C19" s="10" t="s">
        <v>165</v>
      </c>
    </row>
    <row r="21" customFormat="false" ht="15" hidden="false" customHeight="true" outlineLevel="0" collapsed="false">
      <c r="A21" s="12" t="s">
        <v>166</v>
      </c>
    </row>
    <row r="22" customFormat="false" ht="19.5" hidden="false" customHeight="true" outlineLevel="0" collapsed="false">
      <c r="A22" s="7" t="s">
        <v>167</v>
      </c>
      <c r="B22" s="7" t="s">
        <v>124</v>
      </c>
      <c r="C22" s="7" t="s">
        <v>168</v>
      </c>
    </row>
    <row r="23" customFormat="false" ht="27.75" hidden="false" customHeight="true" outlineLevel="0" collapsed="false">
      <c r="A23" s="8" t="s">
        <v>169</v>
      </c>
      <c r="B23" s="13" t="n">
        <f aca="false">IF(OR($B$13="",$B$14=""),"",$B$14-$B$13)</f>
        <v>112</v>
      </c>
      <c r="C23" s="10" t="s">
        <v>170</v>
      </c>
    </row>
    <row r="24" customFormat="false" ht="27.75" hidden="false" customHeight="true" outlineLevel="0" collapsed="false">
      <c r="A24" s="8" t="s">
        <v>171</v>
      </c>
      <c r="B24" s="13" t="n">
        <f aca="false">COUNT(02_Hanh_trinh!B:B)</f>
        <v>5</v>
      </c>
      <c r="C24" s="10" t="s">
        <v>172</v>
      </c>
    </row>
    <row r="25" customFormat="false" ht="27.75" hidden="false" customHeight="true" outlineLevel="0" collapsed="false">
      <c r="A25" s="8" t="s">
        <v>173</v>
      </c>
      <c r="B25" s="13" t="n">
        <f aca="false">IF(COUNT(02_Hanh_trinh!B:B)&lt;2,"",(MAX(02_Hanh_trinh!B:B)-MIN(02_Hanh_trinh!B:B))/(COUNT(02_Hanh_trinh!B:B)-1))</f>
        <v>17.5</v>
      </c>
      <c r="C25" s="10" t="s">
        <v>174</v>
      </c>
    </row>
    <row r="26" customFormat="false" ht="27.75" hidden="false" customHeight="true" outlineLevel="0" collapsed="false">
      <c r="A26" s="8" t="s">
        <v>175</v>
      </c>
      <c r="B26" s="14" t="n">
        <f aca="false">IF(COUNT(02_Hanh_trinh!B:B)=0,"",MAX(02_Hanh_trinh!B:B))</f>
        <v>46200</v>
      </c>
      <c r="C26" s="10"/>
    </row>
    <row r="27" customFormat="false" ht="27.75" hidden="false" customHeight="true" outlineLevel="0" collapsed="false">
      <c r="A27" s="8" t="s">
        <v>176</v>
      </c>
      <c r="B27" s="13" t="n">
        <f aca="false">IF(OR($B$14="",COUNT(02_Hanh_trinh!B:B)=0),"",$B$14-MAX(02_Hanh_trinh!B:B))</f>
        <v>42</v>
      </c>
      <c r="C27" s="10" t="s">
        <v>177</v>
      </c>
    </row>
    <row r="28" customFormat="false" ht="27.75" hidden="false" customHeight="true" outlineLevel="0" collapsed="false">
      <c r="A28" s="8" t="s">
        <v>178</v>
      </c>
      <c r="B28" s="14" t="str">
        <f aca="false">IF(COUNT(02_Hanh_trinh!P:P)=0,"",MAX(02_Hanh_trinh!P:P))</f>
        <v/>
      </c>
      <c r="C28" s="10" t="s">
        <v>179</v>
      </c>
    </row>
    <row r="29" customFormat="false" ht="27.75" hidden="false" customHeight="true" outlineLevel="0" collapsed="false">
      <c r="A29" s="8" t="s">
        <v>180</v>
      </c>
      <c r="B29" s="13" t="str">
        <f aca="false">IF(OR($B$14="",COUNT(02_Hanh_trinh!P:P)=0),"",$B$14-MAX(02_Hanh_trinh!P:P))</f>
        <v/>
      </c>
      <c r="C29" s="10" t="s">
        <v>181</v>
      </c>
    </row>
    <row r="30" customFormat="false" ht="27.75" hidden="false" customHeight="true" outlineLevel="0" collapsed="false">
      <c r="A30" s="8" t="s">
        <v>182</v>
      </c>
      <c r="B30" s="13" t="n">
        <f aca="false">COUNTIF(02_Hanh_trinh!I:I,"Có")</f>
        <v>1</v>
      </c>
      <c r="C30" s="10" t="s">
        <v>183</v>
      </c>
    </row>
    <row r="31" customFormat="false" ht="27.75" hidden="false" customHeight="true" outlineLevel="0" collapsed="false">
      <c r="A31" s="8" t="s">
        <v>184</v>
      </c>
      <c r="B31" s="13" t="n">
        <f aca="false">COUNTIF(02_Hanh_trinh!K:K,"Tiêu cực")</f>
        <v>1</v>
      </c>
      <c r="C31" s="10"/>
    </row>
    <row r="32" customFormat="false" ht="27.75" hidden="false" customHeight="true" outlineLevel="0" collapsed="false">
      <c r="A32" s="8" t="s">
        <v>185</v>
      </c>
      <c r="B32" s="13" t="n">
        <f aca="false">COUNTIF(02_Hanh_trinh!D:D,"Demo/Showcase")</f>
        <v>3</v>
      </c>
      <c r="C32" s="10" t="s">
        <v>186</v>
      </c>
    </row>
    <row r="33" customFormat="false" ht="27.75" hidden="false" customHeight="true" outlineLevel="0" collapsed="false">
      <c r="A33" s="8" t="s">
        <v>187</v>
      </c>
      <c r="B33" s="13" t="str">
        <f aca="false">IF(COUNTIF(02_Hanh_trinh!D:D,"Báo giá")&gt;0,"Có","CHƯA")</f>
        <v>CHƯA</v>
      </c>
      <c r="C33" s="10" t="s">
        <v>188</v>
      </c>
    </row>
    <row r="34" customFormat="false" ht="27.75" hidden="false" customHeight="true" outlineLevel="0" collapsed="false">
      <c r="A34" s="8" t="s">
        <v>189</v>
      </c>
      <c r="B34" s="13" t="n">
        <f aca="false">COUNTIF(04_MEDDPICC!C:C,"Đạt")</f>
        <v>0</v>
      </c>
      <c r="C34" s="10" t="s">
        <v>190</v>
      </c>
    </row>
    <row r="35" customFormat="false" ht="27.75" hidden="false" customHeight="true" outlineLevel="0" collapsed="false">
      <c r="A35" s="8" t="s">
        <v>191</v>
      </c>
      <c r="B35" s="13" t="n">
        <f aca="false">COUNTIF(04_MEDDPICC!C:C,"Trống")</f>
        <v>6</v>
      </c>
      <c r="C35" s="10"/>
    </row>
    <row r="36" customFormat="false" ht="27.75" hidden="false" customHeight="true" outlineLevel="0" collapsed="false">
      <c r="A36" s="8" t="s">
        <v>192</v>
      </c>
      <c r="B36" s="13" t="n">
        <f aca="false">COUNTIF(05_Red_Flags!F:F,"Mới")+COUNTIF(05_Red_Flags!F:F,"Đang xử lý")</f>
        <v>1</v>
      </c>
      <c r="C36" s="10"/>
    </row>
    <row r="37" customFormat="false" ht="27.75" hidden="false" customHeight="true" outlineLevel="0" collapsed="false">
      <c r="A37" s="8" t="s">
        <v>193</v>
      </c>
      <c r="B37" s="13" t="n">
        <f aca="false">COUNTIFS(05_Red_Flags!E:E,"Cao",05_Red_Flags!F:F,"Đang xử lý")+COUNTIFS(05_Red_Flags!E:E,"Cao",05_Red_Flags!F:F,"Mới")</f>
        <v>1</v>
      </c>
      <c r="C37" s="10"/>
    </row>
    <row r="38" customFormat="false" ht="27.75" hidden="false" customHeight="true" outlineLevel="0" collapsed="false">
      <c r="A38" s="8" t="s">
        <v>194</v>
      </c>
      <c r="B38" s="13" t="n">
        <f aca="false">COUNTIFS(08_Cam_ket!A:A,"Base",08_Cam_ket!F:F,"Đang làm")+COUNTIFS(08_Cam_ket!A:A,"Base",08_Cam_ket!F:F,"Quá hạn")</f>
        <v>4</v>
      </c>
      <c r="C38" s="10"/>
    </row>
    <row r="39" customFormat="false" ht="27.75" hidden="false" customHeight="true" outlineLevel="0" collapsed="false">
      <c r="A39" s="8" t="s">
        <v>195</v>
      </c>
      <c r="B39" s="13" t="n">
        <f aca="false">COUNTIFS(08_Cam_ket!A:A,"Khách hàng",08_Cam_ket!F:F,"Đang làm")+COUNTIFS(08_Cam_ket!A:A,"Khách hàng",08_Cam_ket!F:F,"Quá hạn")</f>
        <v>0</v>
      </c>
      <c r="C39" s="10" t="s">
        <v>196</v>
      </c>
    </row>
    <row r="40" customFormat="false" ht="27.75" hidden="false" customHeight="true" outlineLevel="0" collapsed="false">
      <c r="A40" s="8" t="s">
        <v>197</v>
      </c>
      <c r="B40" s="13" t="n">
        <f aca="false">COUNTIFS(08_Cam_ket!A:A,"Base",08_Cam_ket!G:G,"Không có")</f>
        <v>4</v>
      </c>
      <c r="C40" s="10" t="s">
        <v>198</v>
      </c>
    </row>
    <row r="41" customFormat="false" ht="27.75" hidden="false" customHeight="true" outlineLevel="0" collapsed="false">
      <c r="A41" s="8" t="s">
        <v>199</v>
      </c>
      <c r="B41" s="13" t="n">
        <f aca="false">COUNTIF(03_Stakeholders!O:O,4)</f>
        <v>0</v>
      </c>
      <c r="C41" s="10" t="s">
        <v>200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3"/>
    <col collapsed="false" customWidth="true" hidden="false" outlineLevel="0" max="3" min="3" style="1" width="15"/>
    <col collapsed="false" customWidth="true" hidden="false" outlineLevel="0" max="5" min="4" style="1" width="16"/>
    <col collapsed="false" customWidth="true" hidden="false" outlineLevel="0" max="7" min="6" style="1" width="26"/>
    <col collapsed="false" customWidth="true" hidden="false" outlineLevel="0" max="8" min="8" style="1" width="22"/>
    <col collapsed="false" customWidth="true" hidden="false" outlineLevel="0" max="9" min="9" style="1" width="11"/>
    <col collapsed="false" customWidth="true" hidden="false" outlineLevel="0" max="10" min="10" style="1" width="44"/>
    <col collapsed="false" customWidth="true" hidden="false" outlineLevel="0" max="11" min="11" style="1" width="12"/>
    <col collapsed="false" customWidth="true" hidden="false" outlineLevel="0" max="13" min="12" style="1" width="30"/>
    <col collapsed="false" customWidth="true" hidden="false" outlineLevel="0" max="14" min="14" style="1" width="28"/>
    <col collapsed="false" customWidth="true" hidden="false" outlineLevel="0" max="15" min="15" style="1" width="12"/>
    <col collapsed="false" customWidth="true" hidden="false" outlineLevel="0" max="16" min="16" style="1" width="14"/>
  </cols>
  <sheetData>
    <row r="1" customFormat="false" ht="19.5" hidden="false" customHeight="true" outlineLevel="0" collapsed="false">
      <c r="A1" s="2" t="s">
        <v>201</v>
      </c>
      <c r="B1" s="2"/>
      <c r="C1" s="2"/>
      <c r="D1" s="2"/>
      <c r="E1" s="2"/>
      <c r="F1" s="2"/>
      <c r="G1" s="2"/>
      <c r="H1" s="2"/>
    </row>
    <row r="2" customFormat="false" ht="15.75" hidden="false" customHeight="true" outlineLevel="0" collapsed="false">
      <c r="A2" s="3" t="s">
        <v>202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33.75" hidden="false" customHeight="true" outlineLevel="0" collapsed="false">
      <c r="A4" s="7" t="s">
        <v>203</v>
      </c>
      <c r="B4" s="7" t="s">
        <v>204</v>
      </c>
      <c r="C4" s="7" t="s">
        <v>205</v>
      </c>
      <c r="D4" s="7" t="s">
        <v>206</v>
      </c>
      <c r="E4" s="7" t="s">
        <v>207</v>
      </c>
      <c r="F4" s="7" t="s">
        <v>208</v>
      </c>
      <c r="G4" s="7" t="s">
        <v>209</v>
      </c>
      <c r="H4" s="7" t="s">
        <v>210</v>
      </c>
      <c r="I4" s="7" t="s">
        <v>211</v>
      </c>
      <c r="J4" s="7" t="s">
        <v>212</v>
      </c>
      <c r="K4" s="7" t="s">
        <v>213</v>
      </c>
      <c r="L4" s="7" t="s">
        <v>214</v>
      </c>
      <c r="M4" s="7" t="s">
        <v>215</v>
      </c>
      <c r="N4" s="7" t="s">
        <v>216</v>
      </c>
      <c r="O4" s="7" t="s">
        <v>217</v>
      </c>
      <c r="P4" s="7" t="s">
        <v>218</v>
      </c>
    </row>
    <row r="5" customFormat="false" ht="55.5" hidden="false" customHeight="true" outlineLevel="0" collapsed="false">
      <c r="A5" s="15" t="n">
        <v>1</v>
      </c>
      <c r="B5" s="16" t="n">
        <v>46130</v>
      </c>
      <c r="C5" s="15" t="s">
        <v>48</v>
      </c>
      <c r="D5" s="15" t="s">
        <v>49</v>
      </c>
      <c r="E5" s="15" t="s">
        <v>65</v>
      </c>
      <c r="F5" s="15" t="s">
        <v>219</v>
      </c>
      <c r="G5" s="15" t="s">
        <v>220</v>
      </c>
      <c r="H5" s="15" t="s">
        <v>221</v>
      </c>
      <c r="I5" s="15" t="s">
        <v>52</v>
      </c>
      <c r="J5" s="15" t="s">
        <v>222</v>
      </c>
      <c r="K5" s="15" t="s">
        <v>51</v>
      </c>
      <c r="L5" s="15" t="s">
        <v>223</v>
      </c>
      <c r="M5" s="15" t="s">
        <v>224</v>
      </c>
      <c r="N5" s="15"/>
      <c r="O5" s="15"/>
      <c r="P5" s="15"/>
    </row>
    <row r="6" customFormat="false" ht="15" hidden="false" customHeight="true" outlineLevel="0" collapsed="false">
      <c r="A6" s="17" t="n">
        <f aca="false">IF(B6="","",ROW()-5)</f>
        <v>1</v>
      </c>
      <c r="B6" s="11" t="n">
        <v>46137</v>
      </c>
      <c r="C6" s="9" t="s">
        <v>48</v>
      </c>
      <c r="D6" s="9" t="s">
        <v>79</v>
      </c>
      <c r="E6" s="9" t="s">
        <v>94</v>
      </c>
      <c r="F6" s="9" t="s">
        <v>225</v>
      </c>
      <c r="G6" s="9" t="s">
        <v>226</v>
      </c>
      <c r="H6" s="9" t="s">
        <v>221</v>
      </c>
      <c r="I6" s="9" t="s">
        <v>67</v>
      </c>
      <c r="J6" s="9" t="s">
        <v>227</v>
      </c>
      <c r="K6" s="9" t="s">
        <v>66</v>
      </c>
      <c r="L6" s="9" t="s">
        <v>228</v>
      </c>
      <c r="M6" s="9" t="s">
        <v>229</v>
      </c>
      <c r="N6" s="9" t="s">
        <v>230</v>
      </c>
      <c r="O6" s="17" t="n">
        <f aca="false">IF(OR(B6="",B5=""),"",B6-B5)</f>
        <v>7</v>
      </c>
      <c r="P6" s="18" t="str">
        <f aca="false">IF(AND(B6&lt;&gt;"",I6="Có"),B6,"")</f>
        <v/>
      </c>
    </row>
    <row r="7" customFormat="false" ht="15" hidden="false" customHeight="true" outlineLevel="0" collapsed="false">
      <c r="A7" s="17" t="n">
        <f aca="false">IF(B7="","",ROW()-5)</f>
        <v>2</v>
      </c>
      <c r="B7" s="11" t="n">
        <v>46158</v>
      </c>
      <c r="C7" s="9" t="s">
        <v>48</v>
      </c>
      <c r="D7" s="9" t="s">
        <v>64</v>
      </c>
      <c r="E7" s="9" t="s">
        <v>94</v>
      </c>
      <c r="F7" s="9" t="s">
        <v>231</v>
      </c>
      <c r="G7" s="9" t="s">
        <v>232</v>
      </c>
      <c r="H7" s="9" t="s">
        <v>233</v>
      </c>
      <c r="I7" s="9" t="s">
        <v>67</v>
      </c>
      <c r="J7" s="9" t="s">
        <v>234</v>
      </c>
      <c r="K7" s="9" t="s">
        <v>66</v>
      </c>
      <c r="L7" s="9" t="s">
        <v>235</v>
      </c>
      <c r="M7" s="9" t="s">
        <v>236</v>
      </c>
      <c r="N7" s="9" t="s">
        <v>237</v>
      </c>
      <c r="O7" s="17" t="n">
        <f aca="false">IF(OR(B7="",B6=""),"",B7-B6)</f>
        <v>21</v>
      </c>
      <c r="P7" s="18" t="str">
        <f aca="false">IF(AND(B7&lt;&gt;"",I7="Có"),B7,"")</f>
        <v/>
      </c>
    </row>
    <row r="8" customFormat="false" ht="15" hidden="false" customHeight="true" outlineLevel="0" collapsed="false">
      <c r="A8" s="17" t="n">
        <f aca="false">IF(B8="","",ROW()-5)</f>
        <v>3</v>
      </c>
      <c r="B8" s="11" t="n">
        <v>46179</v>
      </c>
      <c r="C8" s="9" t="s">
        <v>48</v>
      </c>
      <c r="D8" s="9" t="s">
        <v>79</v>
      </c>
      <c r="E8" s="9" t="s">
        <v>94</v>
      </c>
      <c r="F8" s="9" t="s">
        <v>238</v>
      </c>
      <c r="G8" s="9" t="s">
        <v>239</v>
      </c>
      <c r="H8" s="9" t="s">
        <v>240</v>
      </c>
      <c r="I8" s="9" t="s">
        <v>67</v>
      </c>
      <c r="J8" s="9" t="s">
        <v>241</v>
      </c>
      <c r="K8" s="9" t="s">
        <v>51</v>
      </c>
      <c r="L8" s="9" t="s">
        <v>242</v>
      </c>
      <c r="M8" s="9" t="s">
        <v>243</v>
      </c>
      <c r="N8" s="9" t="s">
        <v>244</v>
      </c>
      <c r="O8" s="17" t="n">
        <f aca="false">IF(OR(B8="",B7=""),"",B8-B7)</f>
        <v>21</v>
      </c>
      <c r="P8" s="18" t="str">
        <f aca="false">IF(AND(B8&lt;&gt;"",I8="Có"),B8,"")</f>
        <v/>
      </c>
    </row>
    <row r="9" customFormat="false" ht="15" hidden="false" customHeight="true" outlineLevel="0" collapsed="false">
      <c r="A9" s="17" t="n">
        <f aca="false">IF(B9="","",ROW()-5)</f>
        <v>4</v>
      </c>
      <c r="B9" s="11" t="n">
        <v>46200</v>
      </c>
      <c r="C9" s="9" t="s">
        <v>48</v>
      </c>
      <c r="D9" s="9" t="s">
        <v>79</v>
      </c>
      <c r="E9" s="9" t="s">
        <v>94</v>
      </c>
      <c r="F9" s="9" t="s">
        <v>245</v>
      </c>
      <c r="G9" s="9" t="s">
        <v>246</v>
      </c>
      <c r="H9" s="9" t="s">
        <v>247</v>
      </c>
      <c r="I9" s="9" t="s">
        <v>70</v>
      </c>
      <c r="J9" s="9" t="s">
        <v>248</v>
      </c>
      <c r="K9" s="9" t="s">
        <v>81</v>
      </c>
      <c r="L9" s="9" t="s">
        <v>249</v>
      </c>
      <c r="M9" s="9" t="s">
        <v>243</v>
      </c>
      <c r="N9" s="9" t="s">
        <v>250</v>
      </c>
      <c r="O9" s="17" t="n">
        <f aca="false">IF(OR(B9="",B8=""),"",B9-B8)</f>
        <v>21</v>
      </c>
      <c r="P9" s="18" t="str">
        <f aca="false">IF(AND(B9&lt;&gt;"",I9="Có"),B9,"")</f>
        <v/>
      </c>
    </row>
    <row r="10" customFormat="false" ht="15" hidden="false" customHeight="true" outlineLevel="0" collapsed="false">
      <c r="A10" s="17" t="str">
        <f aca="false">IF(B10="","",ROW()-5)</f>
        <v/>
      </c>
      <c r="B10" s="11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7" t="str">
        <f aca="false">IF(OR(B10="",B9=""),"",B10-B9)</f>
        <v/>
      </c>
      <c r="P10" s="18" t="str">
        <f aca="false">IF(AND(B10&lt;&gt;"",I10="Có"),B10,"")</f>
        <v/>
      </c>
    </row>
    <row r="11" customFormat="false" ht="15" hidden="false" customHeight="true" outlineLevel="0" collapsed="false">
      <c r="A11" s="17" t="str">
        <f aca="false">IF(B11="","",ROW()-5)</f>
        <v/>
      </c>
      <c r="B11" s="11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7" t="str">
        <f aca="false">IF(OR(B11="",B10=""),"",B11-B10)</f>
        <v/>
      </c>
      <c r="P11" s="18" t="str">
        <f aca="false">IF(AND(B11&lt;&gt;"",I11="Có"),B11,"")</f>
        <v/>
      </c>
    </row>
    <row r="12" customFormat="false" ht="15" hidden="false" customHeight="true" outlineLevel="0" collapsed="false">
      <c r="A12" s="17" t="str">
        <f aca="false">IF(B12="","",ROW()-5)</f>
        <v/>
      </c>
      <c r="B12" s="11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7" t="str">
        <f aca="false">IF(OR(B12="",B11=""),"",B12-B11)</f>
        <v/>
      </c>
      <c r="P12" s="18" t="str">
        <f aca="false">IF(AND(B12&lt;&gt;"",I12="Có"),B12,"")</f>
        <v/>
      </c>
    </row>
    <row r="13" customFormat="false" ht="15" hidden="false" customHeight="true" outlineLevel="0" collapsed="false">
      <c r="A13" s="17" t="str">
        <f aca="false">IF(B13="","",ROW()-5)</f>
        <v/>
      </c>
      <c r="B13" s="11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7" t="str">
        <f aca="false">IF(OR(B13="",B12=""),"",B13-B12)</f>
        <v/>
      </c>
      <c r="P13" s="18" t="str">
        <f aca="false">IF(AND(B13&lt;&gt;"",I13="Có"),B13,"")</f>
        <v/>
      </c>
    </row>
    <row r="14" customFormat="false" ht="15" hidden="false" customHeight="true" outlineLevel="0" collapsed="false">
      <c r="A14" s="17" t="str">
        <f aca="false">IF(B14="","",ROW()-5)</f>
        <v/>
      </c>
      <c r="B14" s="11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7" t="str">
        <f aca="false">IF(OR(B14="",B13=""),"",B14-B13)</f>
        <v/>
      </c>
      <c r="P14" s="18" t="str">
        <f aca="false">IF(AND(B14&lt;&gt;"",I14="Có"),B14,"")</f>
        <v/>
      </c>
    </row>
    <row r="15" customFormat="false" ht="15" hidden="false" customHeight="true" outlineLevel="0" collapsed="false">
      <c r="A15" s="17" t="str">
        <f aca="false">IF(B15="","",ROW()-5)</f>
        <v/>
      </c>
      <c r="B15" s="11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7" t="str">
        <f aca="false">IF(OR(B15="",B14=""),"",B15-B14)</f>
        <v/>
      </c>
      <c r="P15" s="18" t="str">
        <f aca="false">IF(AND(B15&lt;&gt;"",I15="Có"),B15,"")</f>
        <v/>
      </c>
    </row>
    <row r="16" customFormat="false" ht="15" hidden="false" customHeight="true" outlineLevel="0" collapsed="false">
      <c r="A16" s="17" t="str">
        <f aca="false">IF(B16="","",ROW()-5)</f>
        <v/>
      </c>
      <c r="B16" s="11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7" t="str">
        <f aca="false">IF(OR(B16="",B15=""),"",B16-B15)</f>
        <v/>
      </c>
      <c r="P16" s="18" t="str">
        <f aca="false">IF(AND(B16&lt;&gt;"",I16="Có"),B16,"")</f>
        <v/>
      </c>
    </row>
    <row r="17" customFormat="false" ht="15" hidden="false" customHeight="true" outlineLevel="0" collapsed="false">
      <c r="A17" s="17" t="str">
        <f aca="false">IF(B17="","",ROW()-5)</f>
        <v/>
      </c>
      <c r="B17" s="11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7" t="str">
        <f aca="false">IF(OR(B17="",B16=""),"",B17-B16)</f>
        <v/>
      </c>
      <c r="P17" s="18" t="str">
        <f aca="false">IF(AND(B17&lt;&gt;"",I17="Có"),B17,"")</f>
        <v/>
      </c>
    </row>
    <row r="18" customFormat="false" ht="15" hidden="false" customHeight="true" outlineLevel="0" collapsed="false">
      <c r="A18" s="17" t="str">
        <f aca="false">IF(B18="","",ROW()-5)</f>
        <v/>
      </c>
      <c r="B18" s="11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7" t="str">
        <f aca="false">IF(OR(B18="",B17=""),"",B18-B17)</f>
        <v/>
      </c>
      <c r="P18" s="18" t="str">
        <f aca="false">IF(AND(B18&lt;&gt;"",I18="Có"),B18,"")</f>
        <v/>
      </c>
    </row>
    <row r="19" customFormat="false" ht="15" hidden="false" customHeight="true" outlineLevel="0" collapsed="false">
      <c r="A19" s="17" t="str">
        <f aca="false">IF(B19="","",ROW()-5)</f>
        <v/>
      </c>
      <c r="B19" s="11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7" t="str">
        <f aca="false">IF(OR(B19="",B18=""),"",B19-B18)</f>
        <v/>
      </c>
      <c r="P19" s="18" t="str">
        <f aca="false">IF(AND(B19&lt;&gt;"",I19="Có"),B19,"")</f>
        <v/>
      </c>
    </row>
    <row r="20" customFormat="false" ht="15" hidden="false" customHeight="true" outlineLevel="0" collapsed="false">
      <c r="A20" s="17" t="str">
        <f aca="false">IF(B20="","",ROW()-5)</f>
        <v/>
      </c>
      <c r="B20" s="11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7" t="str">
        <f aca="false">IF(OR(B20="",B19=""),"",B20-B19)</f>
        <v/>
      </c>
      <c r="P20" s="18" t="str">
        <f aca="false">IF(AND(B20&lt;&gt;"",I20="Có"),B20,"")</f>
        <v/>
      </c>
    </row>
    <row r="21" customFormat="false" ht="15" hidden="false" customHeight="true" outlineLevel="0" collapsed="false">
      <c r="A21" s="17" t="str">
        <f aca="false">IF(B21="","",ROW()-5)</f>
        <v/>
      </c>
      <c r="B21" s="11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17" t="str">
        <f aca="false">IF(OR(B21="",B20=""),"",B21-B20)</f>
        <v/>
      </c>
      <c r="P21" s="18" t="str">
        <f aca="false">IF(AND(B21&lt;&gt;"",I21="Có"),B21,"")</f>
        <v/>
      </c>
    </row>
    <row r="22" customFormat="false" ht="15" hidden="false" customHeight="true" outlineLevel="0" collapsed="false">
      <c r="A22" s="17" t="str">
        <f aca="false">IF(B22="","",ROW()-5)</f>
        <v/>
      </c>
      <c r="B22" s="11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17" t="str">
        <f aca="false">IF(OR(B22="",B21=""),"",B22-B21)</f>
        <v/>
      </c>
      <c r="P22" s="18" t="str">
        <f aca="false">IF(AND(B22&lt;&gt;"",I22="Có"),B22,"")</f>
        <v/>
      </c>
    </row>
    <row r="23" customFormat="false" ht="15" hidden="false" customHeight="true" outlineLevel="0" collapsed="false">
      <c r="A23" s="17" t="str">
        <f aca="false">IF(B23="","",ROW()-5)</f>
        <v/>
      </c>
      <c r="B23" s="11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17" t="str">
        <f aca="false">IF(OR(B23="",B22=""),"",B23-B22)</f>
        <v/>
      </c>
      <c r="P23" s="18" t="str">
        <f aca="false">IF(AND(B23&lt;&gt;"",I23="Có"),B23,"")</f>
        <v/>
      </c>
    </row>
    <row r="24" customFormat="false" ht="15" hidden="false" customHeight="true" outlineLevel="0" collapsed="false">
      <c r="A24" s="17" t="str">
        <f aca="false">IF(B24="","",ROW()-5)</f>
        <v/>
      </c>
      <c r="B24" s="11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17" t="str">
        <f aca="false">IF(OR(B24="",B23=""),"",B24-B23)</f>
        <v/>
      </c>
      <c r="P24" s="18" t="str">
        <f aca="false">IF(AND(B24&lt;&gt;"",I24="Có"),B24,"")</f>
        <v/>
      </c>
    </row>
    <row r="25" customFormat="false" ht="15" hidden="false" customHeight="true" outlineLevel="0" collapsed="false">
      <c r="A25" s="17" t="str">
        <f aca="false">IF(B25="","",ROW()-5)</f>
        <v/>
      </c>
      <c r="B25" s="11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17" t="str">
        <f aca="false">IF(OR(B25="",B24=""),"",B25-B24)</f>
        <v/>
      </c>
      <c r="P25" s="18" t="str">
        <f aca="false">IF(AND(B25&lt;&gt;"",I25="Có"),B25,"")</f>
        <v/>
      </c>
    </row>
    <row r="26" customFormat="false" ht="15" hidden="false" customHeight="true" outlineLevel="0" collapsed="false">
      <c r="A26" s="17" t="str">
        <f aca="false">IF(B26="","",ROW()-5)</f>
        <v/>
      </c>
      <c r="B26" s="11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17" t="str">
        <f aca="false">IF(OR(B26="",B25=""),"",B26-B25)</f>
        <v/>
      </c>
      <c r="P26" s="18" t="str">
        <f aca="false">IF(AND(B26&lt;&gt;"",I26="Có"),B26,"")</f>
        <v/>
      </c>
    </row>
    <row r="27" customFormat="false" ht="15" hidden="false" customHeight="true" outlineLevel="0" collapsed="false">
      <c r="A27" s="17" t="str">
        <f aca="false">IF(B27="","",ROW()-5)</f>
        <v/>
      </c>
      <c r="B27" s="11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17" t="str">
        <f aca="false">IF(OR(B27="",B26=""),"",B27-B26)</f>
        <v/>
      </c>
      <c r="P27" s="18" t="str">
        <f aca="false">IF(AND(B27&lt;&gt;"",I27="Có"),B27,"")</f>
        <v/>
      </c>
    </row>
    <row r="28" customFormat="false" ht="15" hidden="false" customHeight="true" outlineLevel="0" collapsed="false">
      <c r="A28" s="17" t="str">
        <f aca="false">IF(B28="","",ROW()-5)</f>
        <v/>
      </c>
      <c r="B28" s="11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17" t="str">
        <f aca="false">IF(OR(B28="",B27=""),"",B28-B27)</f>
        <v/>
      </c>
      <c r="P28" s="18" t="str">
        <f aca="false">IF(AND(B28&lt;&gt;"",I28="Có"),B28,"")</f>
        <v/>
      </c>
    </row>
    <row r="29" customFormat="false" ht="15" hidden="false" customHeight="true" outlineLevel="0" collapsed="false">
      <c r="A29" s="17" t="str">
        <f aca="false">IF(B29="","",ROW()-5)</f>
        <v/>
      </c>
      <c r="B29" s="11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17" t="str">
        <f aca="false">IF(OR(B29="",B28=""),"",B29-B28)</f>
        <v/>
      </c>
      <c r="P29" s="18" t="str">
        <f aca="false">IF(AND(B29&lt;&gt;"",I29="Có"),B29,"")</f>
        <v/>
      </c>
    </row>
    <row r="30" customFormat="false" ht="15" hidden="false" customHeight="true" outlineLevel="0" collapsed="false">
      <c r="A30" s="17" t="str">
        <f aca="false">IF(B30="","",ROW()-5)</f>
        <v/>
      </c>
      <c r="B30" s="11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17" t="str">
        <f aca="false">IF(OR(B30="",B29=""),"",B30-B29)</f>
        <v/>
      </c>
      <c r="P30" s="18" t="str">
        <f aca="false">IF(AND(B30&lt;&gt;"",I30="Có"),B30,"")</f>
        <v/>
      </c>
    </row>
    <row r="31" customFormat="false" ht="15" hidden="false" customHeight="true" outlineLevel="0" collapsed="false">
      <c r="A31" s="17" t="str">
        <f aca="false">IF(B31="","",ROW()-5)</f>
        <v/>
      </c>
      <c r="B31" s="11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17" t="str">
        <f aca="false">IF(OR(B31="",B30=""),"",B31-B30)</f>
        <v/>
      </c>
      <c r="P31" s="18" t="str">
        <f aca="false">IF(AND(B31&lt;&gt;"",I31="Có"),B31,"")</f>
        <v/>
      </c>
    </row>
    <row r="32" customFormat="false" ht="15" hidden="false" customHeight="true" outlineLevel="0" collapsed="false">
      <c r="A32" s="17" t="str">
        <f aca="false">IF(B32="","",ROW()-5)</f>
        <v/>
      </c>
      <c r="B32" s="11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17" t="str">
        <f aca="false">IF(OR(B32="",B31=""),"",B32-B31)</f>
        <v/>
      </c>
      <c r="P32" s="18" t="str">
        <f aca="false">IF(AND(B32&lt;&gt;"",I32="Có"),B32,"")</f>
        <v/>
      </c>
    </row>
    <row r="33" customFormat="false" ht="15" hidden="false" customHeight="true" outlineLevel="0" collapsed="false">
      <c r="A33" s="17" t="str">
        <f aca="false">IF(B33="","",ROW()-5)</f>
        <v/>
      </c>
      <c r="B33" s="11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17" t="str">
        <f aca="false">IF(OR(B33="",B32=""),"",B33-B32)</f>
        <v/>
      </c>
      <c r="P33" s="18" t="str">
        <f aca="false">IF(AND(B33&lt;&gt;"",I33="Có"),B33,"")</f>
        <v/>
      </c>
    </row>
    <row r="34" customFormat="false" ht="15" hidden="false" customHeight="true" outlineLevel="0" collapsed="false">
      <c r="A34" s="17" t="str">
        <f aca="false">IF(B34="","",ROW()-5)</f>
        <v/>
      </c>
      <c r="B34" s="11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17" t="str">
        <f aca="false">IF(OR(B34="",B33=""),"",B34-B33)</f>
        <v/>
      </c>
      <c r="P34" s="18" t="str">
        <f aca="false">IF(AND(B34&lt;&gt;"",I34="Có"),B34,"")</f>
        <v/>
      </c>
    </row>
    <row r="35" customFormat="false" ht="15" hidden="false" customHeight="true" outlineLevel="0" collapsed="false">
      <c r="A35" s="17" t="str">
        <f aca="false">IF(B35="","",ROW()-5)</f>
        <v/>
      </c>
      <c r="B35" s="11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17" t="str">
        <f aca="false">IF(OR(B35="",B34=""),"",B35-B34)</f>
        <v/>
      </c>
      <c r="P35" s="18" t="str">
        <f aca="false">IF(AND(B35&lt;&gt;"",I35="Có"),B35,"")</f>
        <v/>
      </c>
    </row>
    <row r="36" customFormat="false" ht="15" hidden="false" customHeight="true" outlineLevel="0" collapsed="false">
      <c r="A36" s="17" t="str">
        <f aca="false">IF(B36="","",ROW()-5)</f>
        <v/>
      </c>
      <c r="B36" s="11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17" t="str">
        <f aca="false">IF(OR(B36="",B35=""),"",B36-B35)</f>
        <v/>
      </c>
      <c r="P36" s="18" t="str">
        <f aca="false">IF(AND(B36&lt;&gt;"",I36="Có"),B36,"")</f>
        <v/>
      </c>
    </row>
    <row r="37" customFormat="false" ht="15" hidden="false" customHeight="true" outlineLevel="0" collapsed="false">
      <c r="A37" s="17" t="str">
        <f aca="false">IF(B37="","",ROW()-5)</f>
        <v/>
      </c>
      <c r="B37" s="11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17" t="str">
        <f aca="false">IF(OR(B37="",B36=""),"",B37-B36)</f>
        <v/>
      </c>
      <c r="P37" s="18" t="str">
        <f aca="false">IF(AND(B37&lt;&gt;"",I37="Có"),B37,"")</f>
        <v/>
      </c>
    </row>
    <row r="38" customFormat="false" ht="15" hidden="false" customHeight="true" outlineLevel="0" collapsed="false">
      <c r="A38" s="17" t="str">
        <f aca="false">IF(B38="","",ROW()-5)</f>
        <v/>
      </c>
      <c r="B38" s="11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17" t="str">
        <f aca="false">IF(OR(B38="",B37=""),"",B38-B37)</f>
        <v/>
      </c>
      <c r="P38" s="18" t="str">
        <f aca="false">IF(AND(B38&lt;&gt;"",I38="Có"),B38,"")</f>
        <v/>
      </c>
    </row>
    <row r="39" customFormat="false" ht="15" hidden="false" customHeight="true" outlineLevel="0" collapsed="false">
      <c r="A39" s="17" t="str">
        <f aca="false">IF(B39="","",ROW()-5)</f>
        <v/>
      </c>
      <c r="B39" s="11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17" t="str">
        <f aca="false">IF(OR(B39="",B38=""),"",B39-B38)</f>
        <v/>
      </c>
      <c r="P39" s="18" t="str">
        <f aca="false">IF(AND(B39&lt;&gt;"",I39="Có"),B39,"")</f>
        <v/>
      </c>
    </row>
    <row r="40" customFormat="false" ht="15" hidden="false" customHeight="true" outlineLevel="0" collapsed="false">
      <c r="A40" s="17" t="str">
        <f aca="false">IF(B40="","",ROW()-5)</f>
        <v/>
      </c>
      <c r="B40" s="11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17" t="str">
        <f aca="false">IF(OR(B40="",B39=""),"",B40-B39)</f>
        <v/>
      </c>
      <c r="P40" s="18" t="str">
        <f aca="false">IF(AND(B40&lt;&gt;"",I40="Có"),B40,"")</f>
        <v/>
      </c>
    </row>
    <row r="41" customFormat="false" ht="15" hidden="false" customHeight="true" outlineLevel="0" collapsed="false">
      <c r="A41" s="17" t="str">
        <f aca="false">IF(B41="","",ROW()-5)</f>
        <v/>
      </c>
      <c r="B41" s="11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17" t="str">
        <f aca="false">IF(OR(B41="",B40=""),"",B41-B40)</f>
        <v/>
      </c>
      <c r="P41" s="18" t="str">
        <f aca="false">IF(AND(B41&lt;&gt;"",I41="Có"),B41,"")</f>
        <v/>
      </c>
    </row>
    <row r="42" customFormat="false" ht="15" hidden="false" customHeight="true" outlineLevel="0" collapsed="false">
      <c r="A42" s="17" t="str">
        <f aca="false">IF(B42="","",ROW()-5)</f>
        <v/>
      </c>
      <c r="B42" s="11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17" t="str">
        <f aca="false">IF(OR(B42="",B41=""),"",B42-B41)</f>
        <v/>
      </c>
      <c r="P42" s="18" t="str">
        <f aca="false">IF(AND(B42&lt;&gt;"",I42="Có"),B42,"")</f>
        <v/>
      </c>
    </row>
    <row r="43" customFormat="false" ht="15" hidden="false" customHeight="true" outlineLevel="0" collapsed="false">
      <c r="A43" s="17" t="str">
        <f aca="false">IF(B43="","",ROW()-5)</f>
        <v/>
      </c>
      <c r="B43" s="11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17" t="str">
        <f aca="false">IF(OR(B43="",B42=""),"",B43-B42)</f>
        <v/>
      </c>
      <c r="P43" s="18" t="str">
        <f aca="false">IF(AND(B43&lt;&gt;"",I43="Có"),B43,"")</f>
        <v/>
      </c>
    </row>
    <row r="44" customFormat="false" ht="15" hidden="false" customHeight="true" outlineLevel="0" collapsed="false">
      <c r="A44" s="17" t="str">
        <f aca="false">IF(B44="","",ROW()-5)</f>
        <v/>
      </c>
      <c r="B44" s="11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17" t="str">
        <f aca="false">IF(OR(B44="",B43=""),"",B44-B43)</f>
        <v/>
      </c>
      <c r="P44" s="18" t="str">
        <f aca="false">IF(AND(B44&lt;&gt;"",I44="Có"),B44,"")</f>
        <v/>
      </c>
    </row>
    <row r="45" customFormat="false" ht="15" hidden="false" customHeight="true" outlineLevel="0" collapsed="false">
      <c r="A45" s="17" t="str">
        <f aca="false">IF(B45="","",ROW()-5)</f>
        <v/>
      </c>
      <c r="B45" s="11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17" t="str">
        <f aca="false">IF(OR(B45="",B44=""),"",B45-B44)</f>
        <v/>
      </c>
      <c r="P45" s="18" t="str">
        <f aca="false">IF(AND(B45&lt;&gt;"",I45="Có"),B45,"")</f>
        <v/>
      </c>
    </row>
    <row r="46" customFormat="false" ht="15" hidden="false" customHeight="true" outlineLevel="0" collapsed="false">
      <c r="A46" s="17" t="str">
        <f aca="false">IF(B46="","",ROW()-5)</f>
        <v/>
      </c>
      <c r="B46" s="11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17" t="str">
        <f aca="false">IF(OR(B46="",B45=""),"",B46-B45)</f>
        <v/>
      </c>
      <c r="P46" s="18" t="str">
        <f aca="false">IF(AND(B46&lt;&gt;"",I46="Có"),B46,"")</f>
        <v/>
      </c>
    </row>
    <row r="47" customFormat="false" ht="15" hidden="false" customHeight="true" outlineLevel="0" collapsed="false">
      <c r="A47" s="17" t="str">
        <f aca="false">IF(B47="","",ROW()-5)</f>
        <v/>
      </c>
      <c r="B47" s="11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17" t="str">
        <f aca="false">IF(OR(B47="",B46=""),"",B47-B46)</f>
        <v/>
      </c>
      <c r="P47" s="18" t="str">
        <f aca="false">IF(AND(B47&lt;&gt;"",I47="Có"),B47,"")</f>
        <v/>
      </c>
    </row>
    <row r="48" customFormat="false" ht="15" hidden="false" customHeight="true" outlineLevel="0" collapsed="false">
      <c r="A48" s="17" t="str">
        <f aca="false">IF(B48="","",ROW()-5)</f>
        <v/>
      </c>
      <c r="B48" s="11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17" t="str">
        <f aca="false">IF(OR(B48="",B47=""),"",B48-B47)</f>
        <v/>
      </c>
      <c r="P48" s="18" t="str">
        <f aca="false">IF(AND(B48&lt;&gt;"",I48="Có"),B48,"")</f>
        <v/>
      </c>
    </row>
    <row r="49" customFormat="false" ht="15" hidden="false" customHeight="true" outlineLevel="0" collapsed="false">
      <c r="A49" s="17" t="str">
        <f aca="false">IF(B49="","",ROW()-5)</f>
        <v/>
      </c>
      <c r="B49" s="11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17" t="str">
        <f aca="false">IF(OR(B49="",B48=""),"",B49-B48)</f>
        <v/>
      </c>
      <c r="P49" s="18" t="str">
        <f aca="false">IF(AND(B49&lt;&gt;"",I49="Có"),B49,"")</f>
        <v/>
      </c>
    </row>
    <row r="50" customFormat="false" ht="15" hidden="false" customHeight="true" outlineLevel="0" collapsed="false">
      <c r="A50" s="17" t="str">
        <f aca="false">IF(B50="","",ROW()-5)</f>
        <v/>
      </c>
      <c r="B50" s="11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17" t="str">
        <f aca="false">IF(OR(B50="",B49=""),"",B50-B49)</f>
        <v/>
      </c>
      <c r="P50" s="18" t="str">
        <f aca="false">IF(AND(B50&lt;&gt;"",I50="Có"),B50,"")</f>
        <v/>
      </c>
    </row>
    <row r="51" customFormat="false" ht="15" hidden="false" customHeight="true" outlineLevel="0" collapsed="false">
      <c r="A51" s="17" t="str">
        <f aca="false">IF(B51="","",ROW()-5)</f>
        <v/>
      </c>
      <c r="B51" s="11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17" t="str">
        <f aca="false">IF(OR(B51="",B50=""),"",B51-B50)</f>
        <v/>
      </c>
      <c r="P51" s="18" t="str">
        <f aca="false">IF(AND(B51&lt;&gt;"",I51="Có"),B51,"")</f>
        <v/>
      </c>
    </row>
    <row r="52" customFormat="false" ht="15" hidden="false" customHeight="true" outlineLevel="0" collapsed="false">
      <c r="A52" s="17" t="str">
        <f aca="false">IF(B52="","",ROW()-5)</f>
        <v/>
      </c>
      <c r="B52" s="11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17" t="str">
        <f aca="false">IF(OR(B52="",B51=""),"",B52-B51)</f>
        <v/>
      </c>
      <c r="P52" s="18" t="str">
        <f aca="false">IF(AND(B52&lt;&gt;"",I52="Có"),B52,"")</f>
        <v/>
      </c>
    </row>
    <row r="53" customFormat="false" ht="15" hidden="false" customHeight="true" outlineLevel="0" collapsed="false">
      <c r="A53" s="17" t="str">
        <f aca="false">IF(B53="","",ROW()-5)</f>
        <v/>
      </c>
      <c r="B53" s="11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17" t="str">
        <f aca="false">IF(OR(B53="",B52=""),"",B53-B52)</f>
        <v/>
      </c>
      <c r="P53" s="18" t="str">
        <f aca="false">IF(AND(B53&lt;&gt;"",I53="Có"),B53,"")</f>
        <v/>
      </c>
    </row>
    <row r="54" customFormat="false" ht="15" hidden="false" customHeight="true" outlineLevel="0" collapsed="false">
      <c r="A54" s="17" t="str">
        <f aca="false">IF(B54="","",ROW()-5)</f>
        <v/>
      </c>
      <c r="B54" s="11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17" t="str">
        <f aca="false">IF(OR(B54="",B53=""),"",B54-B53)</f>
        <v/>
      </c>
      <c r="P54" s="18" t="str">
        <f aca="false">IF(AND(B54&lt;&gt;"",I54="Có"),B54,"")</f>
        <v/>
      </c>
    </row>
    <row r="55" customFormat="false" ht="15" hidden="false" customHeight="true" outlineLevel="0" collapsed="false">
      <c r="A55" s="17" t="str">
        <f aca="false">IF(B55="","",ROW()-5)</f>
        <v/>
      </c>
      <c r="B55" s="11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17" t="str">
        <f aca="false">IF(OR(B55="",B54=""),"",B55-B54)</f>
        <v/>
      </c>
      <c r="P55" s="18" t="str">
        <f aca="false">IF(AND(B55&lt;&gt;"",I55="Có"),B55,"")</f>
        <v/>
      </c>
    </row>
    <row r="56" customFormat="false" ht="15" hidden="false" customHeight="true" outlineLevel="0" collapsed="false">
      <c r="A56" s="17" t="str">
        <f aca="false">IF(B56="","",ROW()-5)</f>
        <v/>
      </c>
      <c r="B56" s="11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17" t="str">
        <f aca="false">IF(OR(B56="",B55=""),"",B56-B55)</f>
        <v/>
      </c>
      <c r="P56" s="18" t="str">
        <f aca="false">IF(AND(B56&lt;&gt;"",I56="Có"),B56,"")</f>
        <v/>
      </c>
    </row>
    <row r="57" customFormat="false" ht="15" hidden="false" customHeight="true" outlineLevel="0" collapsed="false">
      <c r="A57" s="17" t="str">
        <f aca="false">IF(B57="","",ROW()-5)</f>
        <v/>
      </c>
      <c r="B57" s="11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17" t="str">
        <f aca="false">IF(OR(B57="",B56=""),"",B57-B56)</f>
        <v/>
      </c>
      <c r="P57" s="18" t="str">
        <f aca="false">IF(AND(B57&lt;&gt;"",I57="Có"),B57,"")</f>
        <v/>
      </c>
    </row>
    <row r="58" customFormat="false" ht="15" hidden="false" customHeight="true" outlineLevel="0" collapsed="false">
      <c r="A58" s="17" t="str">
        <f aca="false">IF(B58="","",ROW()-5)</f>
        <v/>
      </c>
      <c r="B58" s="11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17" t="str">
        <f aca="false">IF(OR(B58="",B57=""),"",B58-B57)</f>
        <v/>
      </c>
      <c r="P58" s="18" t="str">
        <f aca="false">IF(AND(B58&lt;&gt;"",I58="Có"),B58,"")</f>
        <v/>
      </c>
    </row>
    <row r="59" customFormat="false" ht="15" hidden="false" customHeight="true" outlineLevel="0" collapsed="false">
      <c r="A59" s="17" t="str">
        <f aca="false">IF(B59="","",ROW()-5)</f>
        <v/>
      </c>
      <c r="B59" s="11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17" t="str">
        <f aca="false">IF(OR(B59="",B58=""),"",B59-B58)</f>
        <v/>
      </c>
      <c r="P59" s="18" t="str">
        <f aca="false">IF(AND(B59&lt;&gt;"",I59="Có"),B59,"")</f>
        <v/>
      </c>
    </row>
    <row r="60" customFormat="false" ht="15" hidden="false" customHeight="true" outlineLevel="0" collapsed="false">
      <c r="A60" s="17" t="str">
        <f aca="false">IF(B60="","",ROW()-5)</f>
        <v/>
      </c>
      <c r="B60" s="11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17" t="str">
        <f aca="false">IF(OR(B60="",B59=""),"",B60-B59)</f>
        <v/>
      </c>
      <c r="P60" s="18" t="str">
        <f aca="false">IF(AND(B60&lt;&gt;"",I60="Có"),B60,"")</f>
        <v/>
      </c>
    </row>
    <row r="61" customFormat="false" ht="15" hidden="false" customHeight="true" outlineLevel="0" collapsed="false">
      <c r="A61" s="17" t="str">
        <f aca="false">IF(B61="","",ROW()-5)</f>
        <v/>
      </c>
      <c r="B61" s="11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17" t="str">
        <f aca="false">IF(OR(B61="",B60=""),"",B61-B60)</f>
        <v/>
      </c>
      <c r="P61" s="18" t="str">
        <f aca="false">IF(AND(B61&lt;&gt;"",I61="Có"),B61,"")</f>
        <v/>
      </c>
    </row>
    <row r="62" customFormat="false" ht="15" hidden="false" customHeight="true" outlineLevel="0" collapsed="false">
      <c r="A62" s="17" t="str">
        <f aca="false">IF(B62="","",ROW()-5)</f>
        <v/>
      </c>
      <c r="B62" s="11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17" t="str">
        <f aca="false">IF(OR(B62="",B61=""),"",B62-B61)</f>
        <v/>
      </c>
      <c r="P62" s="18" t="str">
        <f aca="false">IF(AND(B62&lt;&gt;"",I62="Có"),B62,"")</f>
        <v/>
      </c>
    </row>
    <row r="63" customFormat="false" ht="15" hidden="false" customHeight="true" outlineLevel="0" collapsed="false">
      <c r="A63" s="17" t="str">
        <f aca="false">IF(B63="","",ROW()-5)</f>
        <v/>
      </c>
      <c r="B63" s="11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17" t="str">
        <f aca="false">IF(OR(B63="",B62=""),"",B63-B62)</f>
        <v/>
      </c>
      <c r="P63" s="18" t="str">
        <f aca="false">IF(AND(B63&lt;&gt;"",I63="Có"),B63,"")</f>
        <v/>
      </c>
    </row>
    <row r="64" customFormat="false" ht="15" hidden="false" customHeight="true" outlineLevel="0" collapsed="false">
      <c r="A64" s="17" t="str">
        <f aca="false">IF(B64="","",ROW()-5)</f>
        <v/>
      </c>
      <c r="B64" s="11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17" t="str">
        <f aca="false">IF(OR(B64="",B63=""),"",B64-B63)</f>
        <v/>
      </c>
      <c r="P64" s="18" t="str">
        <f aca="false">IF(AND(B64&lt;&gt;"",I64="Có"),B64,"")</f>
        <v/>
      </c>
    </row>
    <row r="65" customFormat="false" ht="15" hidden="false" customHeight="true" outlineLevel="0" collapsed="false">
      <c r="A65" s="17" t="str">
        <f aca="false">IF(B65="","",ROW()-5)</f>
        <v/>
      </c>
      <c r="B65" s="11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17" t="str">
        <f aca="false">IF(OR(B65="",B64=""),"",B65-B64)</f>
        <v/>
      </c>
      <c r="P65" s="18" t="str">
        <f aca="false">IF(AND(B65&lt;&gt;"",I65="Có"),B65,"")</f>
        <v/>
      </c>
    </row>
    <row r="66" customFormat="false" ht="15" hidden="false" customHeight="true" outlineLevel="0" collapsed="false">
      <c r="A66" s="17" t="str">
        <f aca="false">IF(B66="","",ROW()-5)</f>
        <v/>
      </c>
      <c r="B66" s="11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17" t="str">
        <f aca="false">IF(OR(B66="",B65=""),"",B66-B65)</f>
        <v/>
      </c>
      <c r="P66" s="18" t="str">
        <f aca="false">IF(AND(B66&lt;&gt;"",I66="Có"),B66,"")</f>
        <v/>
      </c>
    </row>
    <row r="67" customFormat="false" ht="15" hidden="false" customHeight="true" outlineLevel="0" collapsed="false">
      <c r="A67" s="17" t="str">
        <f aca="false">IF(B67="","",ROW()-5)</f>
        <v/>
      </c>
      <c r="B67" s="11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17" t="str">
        <f aca="false">IF(OR(B67="",B66=""),"",B67-B66)</f>
        <v/>
      </c>
      <c r="P67" s="18" t="str">
        <f aca="false">IF(AND(B67&lt;&gt;"",I67="Có"),B67,"")</f>
        <v/>
      </c>
    </row>
    <row r="68" customFormat="false" ht="15" hidden="false" customHeight="true" outlineLevel="0" collapsed="false">
      <c r="A68" s="17" t="str">
        <f aca="false">IF(B68="","",ROW()-5)</f>
        <v/>
      </c>
      <c r="B68" s="11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17" t="str">
        <f aca="false">IF(OR(B68="",B67=""),"",B68-B67)</f>
        <v/>
      </c>
      <c r="P68" s="18" t="str">
        <f aca="false">IF(AND(B68&lt;&gt;"",I68="Có"),B68,"")</f>
        <v/>
      </c>
    </row>
    <row r="69" customFormat="false" ht="15" hidden="false" customHeight="true" outlineLevel="0" collapsed="false">
      <c r="A69" s="17" t="str">
        <f aca="false">IF(B69="","",ROW()-5)</f>
        <v/>
      </c>
      <c r="B69" s="11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17" t="str">
        <f aca="false">IF(OR(B69="",B68=""),"",B69-B68)</f>
        <v/>
      </c>
      <c r="P69" s="18" t="str">
        <f aca="false">IF(AND(B69&lt;&gt;"",I69="Có"),B69,"")</f>
        <v/>
      </c>
    </row>
    <row r="70" customFormat="false" ht="15" hidden="false" customHeight="true" outlineLevel="0" collapsed="false">
      <c r="A70" s="17" t="str">
        <f aca="false">IF(B70="","",ROW()-5)</f>
        <v/>
      </c>
      <c r="B70" s="11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17" t="str">
        <f aca="false">IF(OR(B70="",B69=""),"",B70-B69)</f>
        <v/>
      </c>
      <c r="P70" s="18" t="str">
        <f aca="false">IF(AND(B70&lt;&gt;"",I70="Có"),B70,"")</f>
        <v/>
      </c>
    </row>
    <row r="71" customFormat="false" ht="15" hidden="false" customHeight="true" outlineLevel="0" collapsed="false">
      <c r="A71" s="17" t="str">
        <f aca="false">IF(B71="","",ROW()-5)</f>
        <v/>
      </c>
      <c r="B71" s="11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17" t="str">
        <f aca="false">IF(OR(B71="",B70=""),"",B71-B70)</f>
        <v/>
      </c>
      <c r="P71" s="18" t="str">
        <f aca="false">IF(AND(B71&lt;&gt;"",I71="Có"),B71,"")</f>
        <v/>
      </c>
    </row>
    <row r="72" customFormat="false" ht="15" hidden="false" customHeight="true" outlineLevel="0" collapsed="false">
      <c r="A72" s="17" t="str">
        <f aca="false">IF(B72="","",ROW()-5)</f>
        <v/>
      </c>
      <c r="B72" s="11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17" t="str">
        <f aca="false">IF(OR(B72="",B71=""),"",B72-B71)</f>
        <v/>
      </c>
      <c r="P72" s="18" t="str">
        <f aca="false">IF(AND(B72&lt;&gt;"",I72="Có"),B72,"")</f>
        <v/>
      </c>
    </row>
    <row r="73" customFormat="false" ht="15" hidden="false" customHeight="true" outlineLevel="0" collapsed="false">
      <c r="A73" s="17" t="str">
        <f aca="false">IF(B73="","",ROW()-5)</f>
        <v/>
      </c>
      <c r="B73" s="11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17" t="str">
        <f aca="false">IF(OR(B73="",B72=""),"",B73-B72)</f>
        <v/>
      </c>
      <c r="P73" s="18" t="str">
        <f aca="false">IF(AND(B73&lt;&gt;"",I73="Có"),B73,"")</f>
        <v/>
      </c>
    </row>
    <row r="74" customFormat="false" ht="15" hidden="false" customHeight="true" outlineLevel="0" collapsed="false">
      <c r="A74" s="17" t="str">
        <f aca="false">IF(B74="","",ROW()-5)</f>
        <v/>
      </c>
      <c r="B74" s="11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17" t="str">
        <f aca="false">IF(OR(B74="",B73=""),"",B74-B73)</f>
        <v/>
      </c>
      <c r="P74" s="18" t="str">
        <f aca="false">IF(AND(B74&lt;&gt;"",I74="Có"),B74,"")</f>
        <v/>
      </c>
    </row>
    <row r="75" customFormat="false" ht="15" hidden="false" customHeight="true" outlineLevel="0" collapsed="false">
      <c r="A75" s="17" t="str">
        <f aca="false">IF(B75="","",ROW()-5)</f>
        <v/>
      </c>
      <c r="B75" s="11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17" t="str">
        <f aca="false">IF(OR(B75="",B74=""),"",B75-B74)</f>
        <v/>
      </c>
      <c r="P75" s="18" t="str">
        <f aca="false">IF(AND(B75&lt;&gt;"",I75="Có"),B75,"")</f>
        <v/>
      </c>
    </row>
    <row r="76" customFormat="false" ht="15" hidden="false" customHeight="true" outlineLevel="0" collapsed="false">
      <c r="A76" s="17" t="str">
        <f aca="false">IF(B76="","",ROW()-5)</f>
        <v/>
      </c>
      <c r="B76" s="11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17" t="str">
        <f aca="false">IF(OR(B76="",B75=""),"",B76-B75)</f>
        <v/>
      </c>
      <c r="P76" s="18" t="str">
        <f aca="false">IF(AND(B76&lt;&gt;"",I76="Có"),B76,"")</f>
        <v/>
      </c>
    </row>
    <row r="77" customFormat="false" ht="15" hidden="false" customHeight="true" outlineLevel="0" collapsed="false">
      <c r="A77" s="17" t="str">
        <f aca="false">IF(B77="","",ROW()-5)</f>
        <v/>
      </c>
      <c r="B77" s="11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17" t="str">
        <f aca="false">IF(OR(B77="",B76=""),"",B77-B76)</f>
        <v/>
      </c>
      <c r="P77" s="18" t="str">
        <f aca="false">IF(AND(B77&lt;&gt;"",I77="Có"),B77,"")</f>
        <v/>
      </c>
    </row>
    <row r="78" customFormat="false" ht="15" hidden="false" customHeight="true" outlineLevel="0" collapsed="false">
      <c r="A78" s="17" t="str">
        <f aca="false">IF(B78="","",ROW()-5)</f>
        <v/>
      </c>
      <c r="B78" s="11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17" t="str">
        <f aca="false">IF(OR(B78="",B77=""),"",B78-B77)</f>
        <v/>
      </c>
      <c r="P78" s="18" t="str">
        <f aca="false">IF(AND(B78&lt;&gt;"",I78="Có"),B78,"")</f>
        <v/>
      </c>
    </row>
    <row r="79" customFormat="false" ht="15" hidden="false" customHeight="true" outlineLevel="0" collapsed="false">
      <c r="A79" s="17" t="str">
        <f aca="false">IF(B79="","",ROW()-5)</f>
        <v/>
      </c>
      <c r="B79" s="11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17" t="str">
        <f aca="false">IF(OR(B79="",B78=""),"",B79-B78)</f>
        <v/>
      </c>
      <c r="P79" s="18" t="str">
        <f aca="false">IF(AND(B79&lt;&gt;"",I79="Có"),B79,"")</f>
        <v/>
      </c>
    </row>
    <row r="80" customFormat="false" ht="15" hidden="false" customHeight="true" outlineLevel="0" collapsed="false">
      <c r="A80" s="17" t="str">
        <f aca="false">IF(B80="","",ROW()-5)</f>
        <v/>
      </c>
      <c r="B80" s="11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17" t="str">
        <f aca="false">IF(OR(B80="",B79=""),"",B80-B79)</f>
        <v/>
      </c>
      <c r="P80" s="18" t="str">
        <f aca="false">IF(AND(B80&lt;&gt;"",I80="Có"),B80,"")</f>
        <v/>
      </c>
    </row>
    <row r="81" customFormat="false" ht="15" hidden="false" customHeight="true" outlineLevel="0" collapsed="false">
      <c r="A81" s="17" t="str">
        <f aca="false">IF(B81="","",ROW()-5)</f>
        <v/>
      </c>
      <c r="B81" s="11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17" t="str">
        <f aca="false">IF(OR(B81="",B80=""),"",B81-B80)</f>
        <v/>
      </c>
      <c r="P81" s="18" t="str">
        <f aca="false">IF(AND(B81&lt;&gt;"",I81="Có"),B81,"")</f>
        <v/>
      </c>
    </row>
    <row r="82" customFormat="false" ht="15" hidden="false" customHeight="true" outlineLevel="0" collapsed="false">
      <c r="A82" s="17" t="str">
        <f aca="false">IF(B82="","",ROW()-5)</f>
        <v/>
      </c>
      <c r="B82" s="11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17" t="str">
        <f aca="false">IF(OR(B82="",B81=""),"",B82-B81)</f>
        <v/>
      </c>
      <c r="P82" s="18" t="str">
        <f aca="false">IF(AND(B82&lt;&gt;"",I82="Có"),B82,"")</f>
        <v/>
      </c>
    </row>
    <row r="83" customFormat="false" ht="15" hidden="false" customHeight="true" outlineLevel="0" collapsed="false">
      <c r="A83" s="17" t="str">
        <f aca="false">IF(B83="","",ROW()-5)</f>
        <v/>
      </c>
      <c r="B83" s="11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17" t="str">
        <f aca="false">IF(OR(B83="",B82=""),"",B83-B82)</f>
        <v/>
      </c>
      <c r="P83" s="18" t="str">
        <f aca="false">IF(AND(B83&lt;&gt;"",I83="Có"),B83,"")</f>
        <v/>
      </c>
    </row>
    <row r="84" customFormat="false" ht="15" hidden="false" customHeight="true" outlineLevel="0" collapsed="false">
      <c r="A84" s="17" t="str">
        <f aca="false">IF(B84="","",ROW()-5)</f>
        <v/>
      </c>
      <c r="B84" s="11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17" t="str">
        <f aca="false">IF(OR(B84="",B83=""),"",B84-B83)</f>
        <v/>
      </c>
      <c r="P84" s="18" t="str">
        <f aca="false">IF(AND(B84&lt;&gt;"",I84="Có"),B84,"")</f>
        <v/>
      </c>
    </row>
    <row r="85" customFormat="false" ht="15" hidden="false" customHeight="true" outlineLevel="0" collapsed="false">
      <c r="A85" s="17" t="str">
        <f aca="false">IF(B85="","",ROW()-5)</f>
        <v/>
      </c>
      <c r="B85" s="11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17" t="str">
        <f aca="false">IF(OR(B85="",B84=""),"",B85-B84)</f>
        <v/>
      </c>
      <c r="P85" s="18" t="str">
        <f aca="false">IF(AND(B85&lt;&gt;"",I85="Có"),B85,"")</f>
        <v/>
      </c>
    </row>
    <row r="86" customFormat="false" ht="15" hidden="false" customHeight="true" outlineLevel="0" collapsed="false">
      <c r="A86" s="17" t="str">
        <f aca="false">IF(B86="","",ROW()-5)</f>
        <v/>
      </c>
      <c r="B86" s="11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17" t="str">
        <f aca="false">IF(OR(B86="",B85=""),"",B86-B85)</f>
        <v/>
      </c>
      <c r="P86" s="18" t="str">
        <f aca="false">IF(AND(B86&lt;&gt;"",I86="Có"),B86,"")</f>
        <v/>
      </c>
    </row>
    <row r="87" customFormat="false" ht="15" hidden="false" customHeight="true" outlineLevel="0" collapsed="false">
      <c r="A87" s="17" t="str">
        <f aca="false">IF(B87="","",ROW()-5)</f>
        <v/>
      </c>
      <c r="B87" s="11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17" t="str">
        <f aca="false">IF(OR(B87="",B86=""),"",B87-B86)</f>
        <v/>
      </c>
      <c r="P87" s="18" t="str">
        <f aca="false">IF(AND(B87&lt;&gt;"",I87="Có"),B87,"")</f>
        <v/>
      </c>
    </row>
    <row r="88" customFormat="false" ht="15" hidden="false" customHeight="true" outlineLevel="0" collapsed="false">
      <c r="A88" s="17" t="str">
        <f aca="false">IF(B88="","",ROW()-5)</f>
        <v/>
      </c>
      <c r="B88" s="11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17" t="str">
        <f aca="false">IF(OR(B88="",B87=""),"",B88-B87)</f>
        <v/>
      </c>
      <c r="P88" s="18" t="str">
        <f aca="false">IF(AND(B88&lt;&gt;"",I88="Có"),B88,"")</f>
        <v/>
      </c>
    </row>
    <row r="89" customFormat="false" ht="15" hidden="false" customHeight="true" outlineLevel="0" collapsed="false">
      <c r="A89" s="17" t="str">
        <f aca="false">IF(B89="","",ROW()-5)</f>
        <v/>
      </c>
      <c r="B89" s="11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17" t="str">
        <f aca="false">IF(OR(B89="",B88=""),"",B89-B88)</f>
        <v/>
      </c>
      <c r="P89" s="18" t="str">
        <f aca="false">IF(AND(B89&lt;&gt;"",I89="Có"),B89,"")</f>
        <v/>
      </c>
    </row>
    <row r="90" customFormat="false" ht="15" hidden="false" customHeight="true" outlineLevel="0" collapsed="false">
      <c r="A90" s="17" t="str">
        <f aca="false">IF(B90="","",ROW()-5)</f>
        <v/>
      </c>
      <c r="B90" s="11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17" t="str">
        <f aca="false">IF(OR(B90="",B89=""),"",B90-B89)</f>
        <v/>
      </c>
      <c r="P90" s="18" t="str">
        <f aca="false">IF(AND(B90&lt;&gt;"",I90="Có"),B90,"")</f>
        <v/>
      </c>
    </row>
    <row r="91" customFormat="false" ht="15" hidden="false" customHeight="true" outlineLevel="0" collapsed="false">
      <c r="A91" s="17" t="str">
        <f aca="false">IF(B91="","",ROW()-5)</f>
        <v/>
      </c>
      <c r="B91" s="11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17" t="str">
        <f aca="false">IF(OR(B91="",B90=""),"",B91-B90)</f>
        <v/>
      </c>
      <c r="P91" s="18" t="str">
        <f aca="false">IF(AND(B91&lt;&gt;"",I91="Có"),B91,"")</f>
        <v/>
      </c>
    </row>
    <row r="92" customFormat="false" ht="15" hidden="false" customHeight="true" outlineLevel="0" collapsed="false">
      <c r="A92" s="17" t="str">
        <f aca="false">IF(B92="","",ROW()-5)</f>
        <v/>
      </c>
      <c r="B92" s="11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17" t="str">
        <f aca="false">IF(OR(B92="",B91=""),"",B92-B91)</f>
        <v/>
      </c>
      <c r="P92" s="18" t="str">
        <f aca="false">IF(AND(B92&lt;&gt;"",I92="Có"),B92,"")</f>
        <v/>
      </c>
    </row>
    <row r="93" customFormat="false" ht="15" hidden="false" customHeight="true" outlineLevel="0" collapsed="false">
      <c r="A93" s="17" t="str">
        <f aca="false">IF(B93="","",ROW()-5)</f>
        <v/>
      </c>
      <c r="B93" s="11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17" t="str">
        <f aca="false">IF(OR(B93="",B92=""),"",B93-B92)</f>
        <v/>
      </c>
      <c r="P93" s="18" t="str">
        <f aca="false">IF(AND(B93&lt;&gt;"",I93="Có"),B93,"")</f>
        <v/>
      </c>
    </row>
    <row r="94" customFormat="false" ht="15" hidden="false" customHeight="true" outlineLevel="0" collapsed="false">
      <c r="A94" s="17" t="str">
        <f aca="false">IF(B94="","",ROW()-5)</f>
        <v/>
      </c>
      <c r="B94" s="11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17" t="str">
        <f aca="false">IF(OR(B94="",B93=""),"",B94-B93)</f>
        <v/>
      </c>
      <c r="P94" s="18" t="str">
        <f aca="false">IF(AND(B94&lt;&gt;"",I94="Có"),B94,"")</f>
        <v/>
      </c>
    </row>
    <row r="95" customFormat="false" ht="15" hidden="false" customHeight="true" outlineLevel="0" collapsed="false">
      <c r="A95" s="17" t="str">
        <f aca="false">IF(B95="","",ROW()-5)</f>
        <v/>
      </c>
      <c r="B95" s="11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17" t="str">
        <f aca="false">IF(OR(B95="",B94=""),"",B95-B94)</f>
        <v/>
      </c>
      <c r="P95" s="18" t="str">
        <f aca="false">IF(AND(B95&lt;&gt;"",I95="Có"),B95,"")</f>
        <v/>
      </c>
    </row>
    <row r="96" customFormat="false" ht="15" hidden="false" customHeight="true" outlineLevel="0" collapsed="false">
      <c r="A96" s="17" t="str">
        <f aca="false">IF(B96="","",ROW()-5)</f>
        <v/>
      </c>
      <c r="B96" s="11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17" t="str">
        <f aca="false">IF(OR(B96="",B95=""),"",B96-B95)</f>
        <v/>
      </c>
      <c r="P96" s="18" t="str">
        <f aca="false">IF(AND(B96&lt;&gt;"",I96="Có"),B96,"")</f>
        <v/>
      </c>
    </row>
    <row r="97" customFormat="false" ht="15" hidden="false" customHeight="true" outlineLevel="0" collapsed="false">
      <c r="A97" s="17" t="str">
        <f aca="false">IF(B97="","",ROW()-5)</f>
        <v/>
      </c>
      <c r="B97" s="11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17" t="str">
        <f aca="false">IF(OR(B97="",B96=""),"",B97-B96)</f>
        <v/>
      </c>
      <c r="P97" s="18" t="str">
        <f aca="false">IF(AND(B97&lt;&gt;"",I97="Có"),B97,"")</f>
        <v/>
      </c>
    </row>
    <row r="98" customFormat="false" ht="15" hidden="false" customHeight="true" outlineLevel="0" collapsed="false">
      <c r="A98" s="17" t="str">
        <f aca="false">IF(B98="","",ROW()-5)</f>
        <v/>
      </c>
      <c r="B98" s="11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17" t="str">
        <f aca="false">IF(OR(B98="",B97=""),"",B98-B97)</f>
        <v/>
      </c>
      <c r="P98" s="18" t="str">
        <f aca="false">IF(AND(B98&lt;&gt;"",I98="Có"),B98,"")</f>
        <v/>
      </c>
    </row>
    <row r="99" customFormat="false" ht="15" hidden="false" customHeight="true" outlineLevel="0" collapsed="false">
      <c r="A99" s="17" t="str">
        <f aca="false">IF(B99="","",ROW()-5)</f>
        <v/>
      </c>
      <c r="B99" s="11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17" t="str">
        <f aca="false">IF(OR(B99="",B98=""),"",B99-B98)</f>
        <v/>
      </c>
      <c r="P99" s="18" t="str">
        <f aca="false">IF(AND(B99&lt;&gt;"",I99="Có"),B99,"")</f>
        <v/>
      </c>
    </row>
    <row r="100" customFormat="false" ht="15" hidden="false" customHeight="true" outlineLevel="0" collapsed="false">
      <c r="A100" s="17" t="str">
        <f aca="false">IF(B100="","",ROW()-5)</f>
        <v/>
      </c>
      <c r="B100" s="11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17" t="str">
        <f aca="false">IF(OR(B100="",B99=""),"",B100-B99)</f>
        <v/>
      </c>
      <c r="P100" s="18" t="str">
        <f aca="false">IF(AND(B100&lt;&gt;"",I100="Có"),B100,"")</f>
        <v/>
      </c>
    </row>
    <row r="101" customFormat="false" ht="15" hidden="false" customHeight="true" outlineLevel="0" collapsed="false">
      <c r="A101" s="17" t="str">
        <f aca="false">IF(B101="","",ROW()-5)</f>
        <v/>
      </c>
      <c r="B101" s="11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17" t="str">
        <f aca="false">IF(OR(B101="",B100=""),"",B101-B100)</f>
        <v/>
      </c>
      <c r="P101" s="18" t="str">
        <f aca="false">IF(AND(B101&lt;&gt;"",I101="Có"),B101,"")</f>
        <v/>
      </c>
    </row>
    <row r="102" customFormat="false" ht="15" hidden="false" customHeight="true" outlineLevel="0" collapsed="false">
      <c r="A102" s="17" t="str">
        <f aca="false">IF(B102="","",ROW()-5)</f>
        <v/>
      </c>
      <c r="B102" s="11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17" t="str">
        <f aca="false">IF(OR(B102="",B101=""),"",B102-B101)</f>
        <v/>
      </c>
      <c r="P102" s="18" t="str">
        <f aca="false">IF(AND(B102&lt;&gt;"",I102="Có"),B102,"")</f>
        <v/>
      </c>
    </row>
    <row r="103" customFormat="false" ht="15" hidden="false" customHeight="true" outlineLevel="0" collapsed="false">
      <c r="A103" s="17" t="str">
        <f aca="false">IF(B103="","",ROW()-5)</f>
        <v/>
      </c>
      <c r="B103" s="11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17" t="str">
        <f aca="false">IF(OR(B103="",B102=""),"",B103-B102)</f>
        <v/>
      </c>
      <c r="P103" s="18" t="str">
        <f aca="false">IF(AND(B103&lt;&gt;"",I103="Có"),B103,"")</f>
        <v/>
      </c>
    </row>
    <row r="104" customFormat="false" ht="15" hidden="false" customHeight="true" outlineLevel="0" collapsed="false">
      <c r="A104" s="17" t="str">
        <f aca="false">IF(B104="","",ROW()-5)</f>
        <v/>
      </c>
      <c r="B104" s="11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17" t="str">
        <f aca="false">IF(OR(B104="",B103=""),"",B104-B103)</f>
        <v/>
      </c>
      <c r="P104" s="18" t="str">
        <f aca="false">IF(AND(B104&lt;&gt;"",I104="Có"),B104,"")</f>
        <v/>
      </c>
    </row>
    <row r="105" customFormat="false" ht="15" hidden="false" customHeight="true" outlineLevel="0" collapsed="false">
      <c r="A105" s="17" t="str">
        <f aca="false">IF(B105="","",ROW()-5)</f>
        <v/>
      </c>
      <c r="B105" s="11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17" t="str">
        <f aca="false">IF(OR(B105="",B104=""),"",B105-B104)</f>
        <v/>
      </c>
      <c r="P105" s="18" t="str">
        <f aca="false">IF(AND(B105&lt;&gt;"",I105="Có"),B105,"")</f>
        <v/>
      </c>
    </row>
  </sheetData>
  <mergeCells count="2">
    <mergeCell ref="A1:H1"/>
    <mergeCell ref="A2:J2"/>
  </mergeCells>
  <dataValidations count="5">
    <dataValidation allowBlank="true" errorStyle="stop" operator="between" showDropDown="false" showErrorMessage="false" showInputMessage="false" sqref="C6:C106" type="list">
      <formula1>_Lists!$A$2:$A$8</formula1>
      <formula2>0</formula2>
    </dataValidation>
    <dataValidation allowBlank="true" errorStyle="stop" operator="between" showDropDown="false" showErrorMessage="false" showInputMessage="false" sqref="D6:D106" type="list">
      <formula1>_Lists!$B$2:$B$8</formula1>
      <formula2>0</formula2>
    </dataValidation>
    <dataValidation allowBlank="true" errorStyle="stop" operator="between" showDropDown="false" showErrorMessage="false" showInputMessage="false" sqref="E6:E106" type="list">
      <formula1>_Lists!$C$2:$C$5</formula1>
      <formula2>0</formula2>
    </dataValidation>
    <dataValidation allowBlank="true" errorStyle="stop" operator="between" showDropDown="false" showErrorMessage="false" showInputMessage="false" sqref="I6:I106" type="list">
      <formula1>_Lists!$E$2:$E$5</formula1>
      <formula2>0</formula2>
    </dataValidation>
    <dataValidation allowBlank="true" errorStyle="stop" operator="between" showDropDown="false" showErrorMessage="false" showInputMessage="false" sqref="K6:K106" type="list">
      <formula1>_Lists!$D$2:$D$4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0"/>
    <col collapsed="false" customWidth="true" hidden="false" outlineLevel="0" max="3" min="3" style="1" width="16"/>
    <col collapsed="false" customWidth="true" hidden="false" outlineLevel="0" max="4" min="4" style="1" width="22"/>
    <col collapsed="false" customWidth="true" hidden="false" outlineLevel="0" max="6" min="5" style="1" width="14"/>
    <col collapsed="false" customWidth="true" hidden="false" outlineLevel="0" max="7" min="7" style="1" width="11"/>
    <col collapsed="false" customWidth="true" hidden="false" outlineLevel="0" max="8" min="8" style="1" width="15"/>
    <col collapsed="false" customWidth="true" hidden="false" outlineLevel="0" max="9" min="9" style="1" width="20"/>
    <col collapsed="false" customWidth="true" hidden="false" outlineLevel="0" max="10" min="10" style="1" width="15"/>
    <col collapsed="false" customWidth="true" hidden="false" outlineLevel="0" max="14" min="11" style="1" width="20"/>
    <col collapsed="false" customWidth="true" hidden="false" outlineLevel="0" max="15" min="15" style="1" width="12"/>
    <col collapsed="false" customWidth="true" hidden="false" outlineLevel="0" max="16" min="16" style="1" width="16"/>
    <col collapsed="false" customWidth="true" hidden="false" outlineLevel="0" max="17" min="17" style="1" width="34"/>
  </cols>
  <sheetData>
    <row r="1" customFormat="false" ht="19.5" hidden="false" customHeight="true" outlineLevel="0" collapsed="false">
      <c r="A1" s="2" t="s">
        <v>251</v>
      </c>
      <c r="B1" s="2"/>
      <c r="C1" s="2"/>
      <c r="D1" s="2"/>
      <c r="E1" s="2"/>
      <c r="F1" s="2"/>
      <c r="G1" s="2"/>
      <c r="H1" s="2"/>
    </row>
    <row r="2" customFormat="false" ht="15.75" hidden="false" customHeight="true" outlineLevel="0" collapsed="false">
      <c r="A2" s="3" t="s">
        <v>252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45.75" hidden="false" customHeight="true" outlineLevel="0" collapsed="false">
      <c r="A4" s="7" t="s">
        <v>253</v>
      </c>
      <c r="B4" s="7" t="s">
        <v>254</v>
      </c>
      <c r="C4" s="7" t="s">
        <v>255</v>
      </c>
      <c r="D4" s="7" t="s">
        <v>256</v>
      </c>
      <c r="E4" s="7" t="s">
        <v>257</v>
      </c>
      <c r="F4" s="7" t="s">
        <v>258</v>
      </c>
      <c r="G4" s="7" t="s">
        <v>259</v>
      </c>
      <c r="H4" s="7" t="s">
        <v>260</v>
      </c>
      <c r="I4" s="7" t="s">
        <v>261</v>
      </c>
      <c r="J4" s="7" t="s">
        <v>262</v>
      </c>
      <c r="K4" s="7" t="s">
        <v>263</v>
      </c>
      <c r="L4" s="7" t="s">
        <v>264</v>
      </c>
      <c r="M4" s="7" t="s">
        <v>265</v>
      </c>
      <c r="N4" s="7" t="s">
        <v>266</v>
      </c>
      <c r="O4" s="7" t="s">
        <v>267</v>
      </c>
      <c r="P4" s="7" t="s">
        <v>268</v>
      </c>
      <c r="Q4" s="7" t="s">
        <v>269</v>
      </c>
    </row>
    <row r="5" customFormat="false" ht="43.5" hidden="false" customHeight="true" outlineLevel="0" collapsed="false">
      <c r="A5" s="15" t="s">
        <v>270</v>
      </c>
      <c r="B5" s="15" t="s">
        <v>271</v>
      </c>
      <c r="C5" s="15" t="s">
        <v>272</v>
      </c>
      <c r="D5" s="15" t="s">
        <v>53</v>
      </c>
      <c r="E5" s="15" t="s">
        <v>54</v>
      </c>
      <c r="F5" s="15" t="s">
        <v>54</v>
      </c>
      <c r="G5" s="15"/>
      <c r="H5" s="15" t="s">
        <v>55</v>
      </c>
      <c r="I5" s="15" t="s">
        <v>95</v>
      </c>
      <c r="J5" s="15" t="s">
        <v>52</v>
      </c>
      <c r="K5" s="15" t="s">
        <v>67</v>
      </c>
      <c r="L5" s="15" t="s">
        <v>67</v>
      </c>
      <c r="M5" s="15" t="s">
        <v>67</v>
      </c>
      <c r="N5" s="15" t="s">
        <v>67</v>
      </c>
      <c r="O5" s="15"/>
      <c r="P5" s="16" t="n">
        <v>46200</v>
      </c>
      <c r="Q5" s="15" t="s">
        <v>273</v>
      </c>
    </row>
    <row r="6" customFormat="false" ht="15" hidden="false" customHeight="true" outlineLevel="0" collapsed="false">
      <c r="A6" s="9" t="s">
        <v>274</v>
      </c>
      <c r="B6" s="9" t="s">
        <v>275</v>
      </c>
      <c r="C6" s="9" t="s">
        <v>272</v>
      </c>
      <c r="D6" s="9" t="s">
        <v>68</v>
      </c>
      <c r="E6" s="9" t="s">
        <v>95</v>
      </c>
      <c r="F6" s="9" t="s">
        <v>54</v>
      </c>
      <c r="G6" s="19"/>
      <c r="H6" s="9" t="s">
        <v>55</v>
      </c>
      <c r="I6" s="9" t="s">
        <v>95</v>
      </c>
      <c r="J6" s="9" t="s">
        <v>95</v>
      </c>
      <c r="K6" s="9" t="s">
        <v>67</v>
      </c>
      <c r="L6" s="9" t="s">
        <v>67</v>
      </c>
      <c r="M6" s="9" t="s">
        <v>67</v>
      </c>
      <c r="N6" s="9" t="s">
        <v>67</v>
      </c>
      <c r="O6" s="19"/>
      <c r="P6" s="11" t="n">
        <v>46179</v>
      </c>
      <c r="Q6" s="9" t="s">
        <v>276</v>
      </c>
    </row>
    <row r="7" customFormat="false" ht="15" hidden="false" customHeight="true" outlineLevel="0" collapsed="false">
      <c r="A7" s="9" t="s">
        <v>277</v>
      </c>
      <c r="B7" s="9" t="s">
        <v>278</v>
      </c>
      <c r="C7" s="9" t="s">
        <v>279</v>
      </c>
      <c r="D7" s="9" t="s">
        <v>115</v>
      </c>
      <c r="E7" s="9" t="s">
        <v>54</v>
      </c>
      <c r="F7" s="9" t="s">
        <v>69</v>
      </c>
      <c r="G7" s="19"/>
      <c r="H7" s="9" t="s">
        <v>84</v>
      </c>
      <c r="I7" s="9" t="s">
        <v>67</v>
      </c>
      <c r="J7" s="9" t="s">
        <v>52</v>
      </c>
      <c r="K7" s="9" t="s">
        <v>67</v>
      </c>
      <c r="L7" s="9" t="s">
        <v>67</v>
      </c>
      <c r="M7" s="9" t="s">
        <v>67</v>
      </c>
      <c r="N7" s="9" t="s">
        <v>67</v>
      </c>
      <c r="O7" s="19"/>
      <c r="P7" s="11" t="n">
        <v>46200</v>
      </c>
      <c r="Q7" s="9"/>
    </row>
    <row r="8" customFormat="false" ht="15" hidden="false" customHeight="true" outlineLevel="0" collapsed="false">
      <c r="A8" s="9" t="s">
        <v>280</v>
      </c>
      <c r="B8" s="9" t="s">
        <v>281</v>
      </c>
      <c r="C8" s="9" t="s">
        <v>282</v>
      </c>
      <c r="D8" s="9" t="s">
        <v>105</v>
      </c>
      <c r="E8" s="9" t="s">
        <v>54</v>
      </c>
      <c r="F8" s="9" t="s">
        <v>83</v>
      </c>
      <c r="G8" s="19"/>
      <c r="H8" s="9" t="s">
        <v>84</v>
      </c>
      <c r="I8" s="9" t="s">
        <v>95</v>
      </c>
      <c r="J8" s="9" t="s">
        <v>67</v>
      </c>
      <c r="K8" s="9" t="s">
        <v>67</v>
      </c>
      <c r="L8" s="9" t="s">
        <v>67</v>
      </c>
      <c r="M8" s="9" t="s">
        <v>67</v>
      </c>
      <c r="N8" s="9" t="s">
        <v>67</v>
      </c>
      <c r="O8" s="19"/>
      <c r="P8" s="11" t="n">
        <v>46179</v>
      </c>
      <c r="Q8" s="9" t="s">
        <v>283</v>
      </c>
    </row>
    <row r="9" customFormat="false" ht="15" hidden="false" customHeight="true" outlineLevel="0" collapsed="false">
      <c r="A9" s="9" t="s">
        <v>284</v>
      </c>
      <c r="B9" s="9" t="s">
        <v>281</v>
      </c>
      <c r="C9" s="9" t="s">
        <v>285</v>
      </c>
      <c r="D9" s="9" t="s">
        <v>105</v>
      </c>
      <c r="E9" s="9" t="s">
        <v>69</v>
      </c>
      <c r="F9" s="9" t="s">
        <v>83</v>
      </c>
      <c r="G9" s="19"/>
      <c r="H9" s="9" t="s">
        <v>66</v>
      </c>
      <c r="I9" s="9" t="s">
        <v>95</v>
      </c>
      <c r="J9" s="9" t="s">
        <v>67</v>
      </c>
      <c r="K9" s="9" t="s">
        <v>67</v>
      </c>
      <c r="L9" s="9" t="s">
        <v>67</v>
      </c>
      <c r="M9" s="9" t="s">
        <v>67</v>
      </c>
      <c r="N9" s="9" t="s">
        <v>67</v>
      </c>
      <c r="O9" s="19"/>
      <c r="P9" s="11" t="n">
        <v>46179</v>
      </c>
      <c r="Q9" s="9"/>
    </row>
    <row r="10" customFormat="false" ht="15" hidden="false" customHeight="true" outlineLevel="0" collapsed="false">
      <c r="A10" s="9" t="s">
        <v>286</v>
      </c>
      <c r="B10" s="9" t="s">
        <v>287</v>
      </c>
      <c r="C10" s="9" t="s">
        <v>288</v>
      </c>
      <c r="D10" s="9" t="s">
        <v>115</v>
      </c>
      <c r="E10" s="9" t="s">
        <v>69</v>
      </c>
      <c r="F10" s="9" t="s">
        <v>83</v>
      </c>
      <c r="G10" s="19"/>
      <c r="H10" s="9" t="s">
        <v>97</v>
      </c>
      <c r="I10" s="9" t="s">
        <v>67</v>
      </c>
      <c r="J10" s="9" t="s">
        <v>95</v>
      </c>
      <c r="K10" s="9" t="s">
        <v>67</v>
      </c>
      <c r="L10" s="9" t="s">
        <v>67</v>
      </c>
      <c r="M10" s="9" t="s">
        <v>67</v>
      </c>
      <c r="N10" s="9" t="s">
        <v>67</v>
      </c>
      <c r="O10" s="19"/>
      <c r="P10" s="11" t="n">
        <v>46158</v>
      </c>
      <c r="Q10" s="9" t="s">
        <v>289</v>
      </c>
    </row>
    <row r="11" customFormat="false" ht="15" hidden="false" customHeight="true" outlineLevel="0" collapsed="false">
      <c r="A11" s="9"/>
      <c r="B11" s="9"/>
      <c r="C11" s="9"/>
      <c r="D11" s="9"/>
      <c r="E11" s="9"/>
      <c r="F11" s="9"/>
      <c r="G11" s="19" t="str">
        <f aca="false">IF(OR(E11="",F11=""),"",IF(AND(E11="Cao",F11="Cao"),"IA",IF(AND(E11="Cao",F11&lt;&gt;"Cao"),"INA",IF(AND(E11&lt;&gt;"Cao",F11="Cao"),"ANI","NINA"))))</f>
        <v/>
      </c>
      <c r="H11" s="9"/>
      <c r="I11" s="9"/>
      <c r="J11" s="9"/>
      <c r="K11" s="9"/>
      <c r="L11" s="9"/>
      <c r="M11" s="9"/>
      <c r="N11" s="9"/>
      <c r="O11" s="19" t="str">
        <f aca="false">IF(A11="","",COUNTIF(K11:N11,"Có"))</f>
        <v/>
      </c>
      <c r="P11" s="11"/>
      <c r="Q11" s="9"/>
    </row>
    <row r="12" customFormat="false" ht="15" hidden="false" customHeight="true" outlineLevel="0" collapsed="false">
      <c r="A12" s="9"/>
      <c r="B12" s="9"/>
      <c r="C12" s="9"/>
      <c r="D12" s="9"/>
      <c r="E12" s="9"/>
      <c r="F12" s="9"/>
      <c r="G12" s="19" t="str">
        <f aca="false">IF(OR(E12="",F12=""),"",IF(AND(E12="Cao",F12="Cao"),"IA",IF(AND(E12="Cao",F12&lt;&gt;"Cao"),"INA",IF(AND(E12&lt;&gt;"Cao",F12="Cao"),"ANI","NINA"))))</f>
        <v/>
      </c>
      <c r="H12" s="9"/>
      <c r="I12" s="9"/>
      <c r="J12" s="9"/>
      <c r="K12" s="9"/>
      <c r="L12" s="9"/>
      <c r="M12" s="9"/>
      <c r="N12" s="9"/>
      <c r="O12" s="19" t="str">
        <f aca="false">IF(A12="","",COUNTIF(K12:N12,"Có"))</f>
        <v/>
      </c>
      <c r="P12" s="11"/>
      <c r="Q12" s="9"/>
    </row>
    <row r="13" customFormat="false" ht="15" hidden="false" customHeight="true" outlineLevel="0" collapsed="false">
      <c r="A13" s="9"/>
      <c r="B13" s="9"/>
      <c r="C13" s="9"/>
      <c r="D13" s="9"/>
      <c r="E13" s="9"/>
      <c r="F13" s="9"/>
      <c r="G13" s="19" t="str">
        <f aca="false">IF(OR(E13="",F13=""),"",IF(AND(E13="Cao",F13="Cao"),"IA",IF(AND(E13="Cao",F13&lt;&gt;"Cao"),"INA",IF(AND(E13&lt;&gt;"Cao",F13="Cao"),"ANI","NINA"))))</f>
        <v/>
      </c>
      <c r="H13" s="9"/>
      <c r="I13" s="9"/>
      <c r="J13" s="9"/>
      <c r="K13" s="9"/>
      <c r="L13" s="9"/>
      <c r="M13" s="9"/>
      <c r="N13" s="9"/>
      <c r="O13" s="19" t="str">
        <f aca="false">IF(A13="","",COUNTIF(K13:N13,"Có"))</f>
        <v/>
      </c>
      <c r="P13" s="11"/>
      <c r="Q13" s="9"/>
    </row>
    <row r="14" customFormat="false" ht="15" hidden="false" customHeight="true" outlineLevel="0" collapsed="false">
      <c r="A14" s="9"/>
      <c r="B14" s="9"/>
      <c r="C14" s="9"/>
      <c r="D14" s="9"/>
      <c r="E14" s="9"/>
      <c r="F14" s="9"/>
      <c r="G14" s="19" t="str">
        <f aca="false">IF(OR(E14="",F14=""),"",IF(AND(E14="Cao",F14="Cao"),"IA",IF(AND(E14="Cao",F14&lt;&gt;"Cao"),"INA",IF(AND(E14&lt;&gt;"Cao",F14="Cao"),"ANI","NINA"))))</f>
        <v/>
      </c>
      <c r="H14" s="9"/>
      <c r="I14" s="9"/>
      <c r="J14" s="9"/>
      <c r="K14" s="9"/>
      <c r="L14" s="9"/>
      <c r="M14" s="9"/>
      <c r="N14" s="9"/>
      <c r="O14" s="19" t="str">
        <f aca="false">IF(A14="","",COUNTIF(K14:N14,"Có"))</f>
        <v/>
      </c>
      <c r="P14" s="11"/>
      <c r="Q14" s="9"/>
    </row>
    <row r="15" customFormat="false" ht="15" hidden="false" customHeight="true" outlineLevel="0" collapsed="false">
      <c r="A15" s="9"/>
      <c r="B15" s="9"/>
      <c r="C15" s="9"/>
      <c r="D15" s="9"/>
      <c r="E15" s="9"/>
      <c r="F15" s="9"/>
      <c r="G15" s="19" t="str">
        <f aca="false">IF(OR(E15="",F15=""),"",IF(AND(E15="Cao",F15="Cao"),"IA",IF(AND(E15="Cao",F15&lt;&gt;"Cao"),"INA",IF(AND(E15&lt;&gt;"Cao",F15="Cao"),"ANI","NINA"))))</f>
        <v/>
      </c>
      <c r="H15" s="9"/>
      <c r="I15" s="9"/>
      <c r="J15" s="9"/>
      <c r="K15" s="9"/>
      <c r="L15" s="9"/>
      <c r="M15" s="9"/>
      <c r="N15" s="9"/>
      <c r="O15" s="19" t="str">
        <f aca="false">IF(A15="","",COUNTIF(K15:N15,"Có"))</f>
        <v/>
      </c>
      <c r="P15" s="11"/>
      <c r="Q15" s="9"/>
    </row>
    <row r="16" customFormat="false" ht="15" hidden="false" customHeight="true" outlineLevel="0" collapsed="false">
      <c r="A16" s="9"/>
      <c r="B16" s="9"/>
      <c r="C16" s="9"/>
      <c r="D16" s="9"/>
      <c r="E16" s="9"/>
      <c r="F16" s="9"/>
      <c r="G16" s="19" t="str">
        <f aca="false">IF(OR(E16="",F16=""),"",IF(AND(E16="Cao",F16="Cao"),"IA",IF(AND(E16="Cao",F16&lt;&gt;"Cao"),"INA",IF(AND(E16&lt;&gt;"Cao",F16="Cao"),"ANI","NINA"))))</f>
        <v/>
      </c>
      <c r="H16" s="9"/>
      <c r="I16" s="9"/>
      <c r="J16" s="9"/>
      <c r="K16" s="9"/>
      <c r="L16" s="9"/>
      <c r="M16" s="9"/>
      <c r="N16" s="9"/>
      <c r="O16" s="19" t="str">
        <f aca="false">IF(A16="","",COUNTIF(K16:N16,"Có"))</f>
        <v/>
      </c>
      <c r="P16" s="11"/>
      <c r="Q16" s="9"/>
    </row>
    <row r="17" customFormat="false" ht="15" hidden="false" customHeight="true" outlineLevel="0" collapsed="false">
      <c r="A17" s="9"/>
      <c r="B17" s="9"/>
      <c r="C17" s="9"/>
      <c r="D17" s="9"/>
      <c r="E17" s="9"/>
      <c r="F17" s="9"/>
      <c r="G17" s="19" t="str">
        <f aca="false">IF(OR(E17="",F17=""),"",IF(AND(E17="Cao",F17="Cao"),"IA",IF(AND(E17="Cao",F17&lt;&gt;"Cao"),"INA",IF(AND(E17&lt;&gt;"Cao",F17="Cao"),"ANI","NINA"))))</f>
        <v/>
      </c>
      <c r="H17" s="9"/>
      <c r="I17" s="9"/>
      <c r="J17" s="9"/>
      <c r="K17" s="9"/>
      <c r="L17" s="9"/>
      <c r="M17" s="9"/>
      <c r="N17" s="9"/>
      <c r="O17" s="19" t="str">
        <f aca="false">IF(A17="","",COUNTIF(K17:N17,"Có"))</f>
        <v/>
      </c>
      <c r="P17" s="11"/>
      <c r="Q17" s="9"/>
    </row>
    <row r="18" customFormat="false" ht="15" hidden="false" customHeight="true" outlineLevel="0" collapsed="false">
      <c r="A18" s="9"/>
      <c r="B18" s="9"/>
      <c r="C18" s="9"/>
      <c r="D18" s="9"/>
      <c r="E18" s="9"/>
      <c r="F18" s="9"/>
      <c r="G18" s="19" t="str">
        <f aca="false">IF(OR(E18="",F18=""),"",IF(AND(E18="Cao",F18="Cao"),"IA",IF(AND(E18="Cao",F18&lt;&gt;"Cao"),"INA",IF(AND(E18&lt;&gt;"Cao",F18="Cao"),"ANI","NINA"))))</f>
        <v/>
      </c>
      <c r="H18" s="9"/>
      <c r="I18" s="9"/>
      <c r="J18" s="9"/>
      <c r="K18" s="9"/>
      <c r="L18" s="9"/>
      <c r="M18" s="9"/>
      <c r="N18" s="9"/>
      <c r="O18" s="19" t="str">
        <f aca="false">IF(A18="","",COUNTIF(K18:N18,"Có"))</f>
        <v/>
      </c>
      <c r="P18" s="11"/>
      <c r="Q18" s="9"/>
    </row>
    <row r="19" customFormat="false" ht="15" hidden="false" customHeight="true" outlineLevel="0" collapsed="false">
      <c r="A19" s="9"/>
      <c r="B19" s="9"/>
      <c r="C19" s="9"/>
      <c r="D19" s="9"/>
      <c r="E19" s="9"/>
      <c r="F19" s="9"/>
      <c r="G19" s="19" t="str">
        <f aca="false">IF(OR(E19="",F19=""),"",IF(AND(E19="Cao",F19="Cao"),"IA",IF(AND(E19="Cao",F19&lt;&gt;"Cao"),"INA",IF(AND(E19&lt;&gt;"Cao",F19="Cao"),"ANI","NINA"))))</f>
        <v/>
      </c>
      <c r="H19" s="9"/>
      <c r="I19" s="9"/>
      <c r="J19" s="9"/>
      <c r="K19" s="9"/>
      <c r="L19" s="9"/>
      <c r="M19" s="9"/>
      <c r="N19" s="9"/>
      <c r="O19" s="19" t="str">
        <f aca="false">IF(A19="","",COUNTIF(K19:N19,"Có"))</f>
        <v/>
      </c>
      <c r="P19" s="11"/>
      <c r="Q19" s="9"/>
    </row>
    <row r="20" customFormat="false" ht="15" hidden="false" customHeight="true" outlineLevel="0" collapsed="false">
      <c r="A20" s="9"/>
      <c r="B20" s="9"/>
      <c r="C20" s="9"/>
      <c r="D20" s="9"/>
      <c r="E20" s="9"/>
      <c r="F20" s="9"/>
      <c r="G20" s="19" t="str">
        <f aca="false">IF(OR(E20="",F20=""),"",IF(AND(E20="Cao",F20="Cao"),"IA",IF(AND(E20="Cao",F20&lt;&gt;"Cao"),"INA",IF(AND(E20&lt;&gt;"Cao",F20="Cao"),"ANI","NINA"))))</f>
        <v/>
      </c>
      <c r="H20" s="9"/>
      <c r="I20" s="9"/>
      <c r="J20" s="9"/>
      <c r="K20" s="9"/>
      <c r="L20" s="9"/>
      <c r="M20" s="9"/>
      <c r="N20" s="9"/>
      <c r="O20" s="19" t="str">
        <f aca="false">IF(A20="","",COUNTIF(K20:N20,"Có"))</f>
        <v/>
      </c>
      <c r="P20" s="11"/>
      <c r="Q20" s="9"/>
    </row>
    <row r="21" customFormat="false" ht="15" hidden="false" customHeight="true" outlineLevel="0" collapsed="false">
      <c r="A21" s="9"/>
      <c r="B21" s="9"/>
      <c r="C21" s="9"/>
      <c r="D21" s="9"/>
      <c r="E21" s="9"/>
      <c r="F21" s="9"/>
      <c r="G21" s="19" t="str">
        <f aca="false">IF(OR(E21="",F21=""),"",IF(AND(E21="Cao",F21="Cao"),"IA",IF(AND(E21="Cao",F21&lt;&gt;"Cao"),"INA",IF(AND(E21&lt;&gt;"Cao",F21="Cao"),"ANI","NINA"))))</f>
        <v/>
      </c>
      <c r="H21" s="9"/>
      <c r="I21" s="9"/>
      <c r="J21" s="9"/>
      <c r="K21" s="9"/>
      <c r="L21" s="9"/>
      <c r="M21" s="9"/>
      <c r="N21" s="9"/>
      <c r="O21" s="19" t="str">
        <f aca="false">IF(A21="","",COUNTIF(K21:N21,"Có"))</f>
        <v/>
      </c>
      <c r="P21" s="11"/>
      <c r="Q21" s="9"/>
    </row>
    <row r="22" customFormat="false" ht="15" hidden="false" customHeight="true" outlineLevel="0" collapsed="false">
      <c r="A22" s="9"/>
      <c r="B22" s="9"/>
      <c r="C22" s="9"/>
      <c r="D22" s="9"/>
      <c r="E22" s="9"/>
      <c r="F22" s="9"/>
      <c r="G22" s="19" t="str">
        <f aca="false">IF(OR(E22="",F22=""),"",IF(AND(E22="Cao",F22="Cao"),"IA",IF(AND(E22="Cao",F22&lt;&gt;"Cao"),"INA",IF(AND(E22&lt;&gt;"Cao",F22="Cao"),"ANI","NINA"))))</f>
        <v/>
      </c>
      <c r="H22" s="9"/>
      <c r="I22" s="9"/>
      <c r="J22" s="9"/>
      <c r="K22" s="9"/>
      <c r="L22" s="9"/>
      <c r="M22" s="9"/>
      <c r="N22" s="9"/>
      <c r="O22" s="19" t="str">
        <f aca="false">IF(A22="","",COUNTIF(K22:N22,"Có"))</f>
        <v/>
      </c>
      <c r="P22" s="11"/>
      <c r="Q22" s="9"/>
    </row>
    <row r="23" customFormat="false" ht="15" hidden="false" customHeight="true" outlineLevel="0" collapsed="false">
      <c r="A23" s="9"/>
      <c r="B23" s="9"/>
      <c r="C23" s="9"/>
      <c r="D23" s="9"/>
      <c r="E23" s="9"/>
      <c r="F23" s="9"/>
      <c r="G23" s="19" t="str">
        <f aca="false">IF(OR(E23="",F23=""),"",IF(AND(E23="Cao",F23="Cao"),"IA",IF(AND(E23="Cao",F23&lt;&gt;"Cao"),"INA",IF(AND(E23&lt;&gt;"Cao",F23="Cao"),"ANI","NINA"))))</f>
        <v/>
      </c>
      <c r="H23" s="9"/>
      <c r="I23" s="9"/>
      <c r="J23" s="9"/>
      <c r="K23" s="9"/>
      <c r="L23" s="9"/>
      <c r="M23" s="9"/>
      <c r="N23" s="9"/>
      <c r="O23" s="19" t="str">
        <f aca="false">IF(A23="","",COUNTIF(K23:N23,"Có"))</f>
        <v/>
      </c>
      <c r="P23" s="11"/>
      <c r="Q23" s="9"/>
    </row>
    <row r="24" customFormat="false" ht="15" hidden="false" customHeight="true" outlineLevel="0" collapsed="false">
      <c r="A24" s="9"/>
      <c r="B24" s="9"/>
      <c r="C24" s="9"/>
      <c r="D24" s="9"/>
      <c r="E24" s="9"/>
      <c r="F24" s="9"/>
      <c r="G24" s="19" t="str">
        <f aca="false">IF(OR(E24="",F24=""),"",IF(AND(E24="Cao",F24="Cao"),"IA",IF(AND(E24="Cao",F24&lt;&gt;"Cao"),"INA",IF(AND(E24&lt;&gt;"Cao",F24="Cao"),"ANI","NINA"))))</f>
        <v/>
      </c>
      <c r="H24" s="9"/>
      <c r="I24" s="9"/>
      <c r="J24" s="9"/>
      <c r="K24" s="9"/>
      <c r="L24" s="9"/>
      <c r="M24" s="9"/>
      <c r="N24" s="9"/>
      <c r="O24" s="19" t="str">
        <f aca="false">IF(A24="","",COUNTIF(K24:N24,"Có"))</f>
        <v/>
      </c>
      <c r="P24" s="11"/>
      <c r="Q24" s="9"/>
    </row>
    <row r="25" customFormat="false" ht="15" hidden="false" customHeight="true" outlineLevel="0" collapsed="false">
      <c r="A25" s="9"/>
      <c r="B25" s="9"/>
      <c r="C25" s="9"/>
      <c r="D25" s="9"/>
      <c r="E25" s="9"/>
      <c r="F25" s="9"/>
      <c r="G25" s="19" t="str">
        <f aca="false">IF(OR(E25="",F25=""),"",IF(AND(E25="Cao",F25="Cao"),"IA",IF(AND(E25="Cao",F25&lt;&gt;"Cao"),"INA",IF(AND(E25&lt;&gt;"Cao",F25="Cao"),"ANI","NINA"))))</f>
        <v/>
      </c>
      <c r="H25" s="9"/>
      <c r="I25" s="9"/>
      <c r="J25" s="9"/>
      <c r="K25" s="9"/>
      <c r="L25" s="9"/>
      <c r="M25" s="9"/>
      <c r="N25" s="9"/>
      <c r="O25" s="19" t="str">
        <f aca="false">IF(A25="","",COUNTIF(K25:N25,"Có"))</f>
        <v/>
      </c>
      <c r="P25" s="11"/>
      <c r="Q25" s="9"/>
    </row>
    <row r="26" customFormat="false" ht="15" hidden="false" customHeight="true" outlineLevel="0" collapsed="false">
      <c r="A26" s="9"/>
      <c r="B26" s="9"/>
      <c r="C26" s="9"/>
      <c r="D26" s="9"/>
      <c r="E26" s="9"/>
      <c r="F26" s="9"/>
      <c r="G26" s="19" t="str">
        <f aca="false">IF(OR(E26="",F26=""),"",IF(AND(E26="Cao",F26="Cao"),"IA",IF(AND(E26="Cao",F26&lt;&gt;"Cao"),"INA",IF(AND(E26&lt;&gt;"Cao",F26="Cao"),"ANI","NINA"))))</f>
        <v/>
      </c>
      <c r="H26" s="9"/>
      <c r="I26" s="9"/>
      <c r="J26" s="9"/>
      <c r="K26" s="9"/>
      <c r="L26" s="9"/>
      <c r="M26" s="9"/>
      <c r="N26" s="9"/>
      <c r="O26" s="19" t="str">
        <f aca="false">IF(A26="","",COUNTIF(K26:N26,"Có"))</f>
        <v/>
      </c>
      <c r="P26" s="11"/>
      <c r="Q26" s="9"/>
    </row>
    <row r="27" customFormat="false" ht="15" hidden="false" customHeight="true" outlineLevel="0" collapsed="false">
      <c r="A27" s="9"/>
      <c r="B27" s="9"/>
      <c r="C27" s="9"/>
      <c r="D27" s="9"/>
      <c r="E27" s="9"/>
      <c r="F27" s="9"/>
      <c r="G27" s="19" t="str">
        <f aca="false">IF(OR(E27="",F27=""),"",IF(AND(E27="Cao",F27="Cao"),"IA",IF(AND(E27="Cao",F27&lt;&gt;"Cao"),"INA",IF(AND(E27&lt;&gt;"Cao",F27="Cao"),"ANI","NINA"))))</f>
        <v/>
      </c>
      <c r="H27" s="9"/>
      <c r="I27" s="9"/>
      <c r="J27" s="9"/>
      <c r="K27" s="9"/>
      <c r="L27" s="9"/>
      <c r="M27" s="9"/>
      <c r="N27" s="9"/>
      <c r="O27" s="19" t="str">
        <f aca="false">IF(A27="","",COUNTIF(K27:N27,"Có"))</f>
        <v/>
      </c>
      <c r="P27" s="11"/>
      <c r="Q27" s="9"/>
    </row>
    <row r="28" customFormat="false" ht="15" hidden="false" customHeight="true" outlineLevel="0" collapsed="false">
      <c r="A28" s="9"/>
      <c r="B28" s="9"/>
      <c r="C28" s="9"/>
      <c r="D28" s="9"/>
      <c r="E28" s="9"/>
      <c r="F28" s="9"/>
      <c r="G28" s="19" t="str">
        <f aca="false">IF(OR(E28="",F28=""),"",IF(AND(E28="Cao",F28="Cao"),"IA",IF(AND(E28="Cao",F28&lt;&gt;"Cao"),"INA",IF(AND(E28&lt;&gt;"Cao",F28="Cao"),"ANI","NINA"))))</f>
        <v/>
      </c>
      <c r="H28" s="9"/>
      <c r="I28" s="9"/>
      <c r="J28" s="9"/>
      <c r="K28" s="9"/>
      <c r="L28" s="9"/>
      <c r="M28" s="9"/>
      <c r="N28" s="9"/>
      <c r="O28" s="19" t="str">
        <f aca="false">IF(A28="","",COUNTIF(K28:N28,"Có"))</f>
        <v/>
      </c>
      <c r="P28" s="11"/>
      <c r="Q28" s="9"/>
    </row>
    <row r="29" customFormat="false" ht="15" hidden="false" customHeight="true" outlineLevel="0" collapsed="false">
      <c r="A29" s="9"/>
      <c r="B29" s="9"/>
      <c r="C29" s="9"/>
      <c r="D29" s="9"/>
      <c r="E29" s="9"/>
      <c r="F29" s="9"/>
      <c r="G29" s="19" t="str">
        <f aca="false">IF(OR(E29="",F29=""),"",IF(AND(E29="Cao",F29="Cao"),"IA",IF(AND(E29="Cao",F29&lt;&gt;"Cao"),"INA",IF(AND(E29&lt;&gt;"Cao",F29="Cao"),"ANI","NINA"))))</f>
        <v/>
      </c>
      <c r="H29" s="9"/>
      <c r="I29" s="9"/>
      <c r="J29" s="9"/>
      <c r="K29" s="9"/>
      <c r="L29" s="9"/>
      <c r="M29" s="9"/>
      <c r="N29" s="9"/>
      <c r="O29" s="19" t="str">
        <f aca="false">IF(A29="","",COUNTIF(K29:N29,"Có"))</f>
        <v/>
      </c>
      <c r="P29" s="11"/>
      <c r="Q29" s="9"/>
    </row>
    <row r="30" customFormat="false" ht="15" hidden="false" customHeight="true" outlineLevel="0" collapsed="false">
      <c r="A30" s="9"/>
      <c r="B30" s="9"/>
      <c r="C30" s="9"/>
      <c r="D30" s="9"/>
      <c r="E30" s="9"/>
      <c r="F30" s="9"/>
      <c r="G30" s="19" t="str">
        <f aca="false">IF(OR(E30="",F30=""),"",IF(AND(E30="Cao",F30="Cao"),"IA",IF(AND(E30="Cao",F30&lt;&gt;"Cao"),"INA",IF(AND(E30&lt;&gt;"Cao",F30="Cao"),"ANI","NINA"))))</f>
        <v/>
      </c>
      <c r="H30" s="9"/>
      <c r="I30" s="9"/>
      <c r="J30" s="9"/>
      <c r="K30" s="9"/>
      <c r="L30" s="9"/>
      <c r="M30" s="9"/>
      <c r="N30" s="9"/>
      <c r="O30" s="19" t="str">
        <f aca="false">IF(A30="","",COUNTIF(K30:N30,"Có"))</f>
        <v/>
      </c>
      <c r="P30" s="11"/>
      <c r="Q30" s="9"/>
    </row>
    <row r="31" customFormat="false" ht="15" hidden="false" customHeight="true" outlineLevel="0" collapsed="false">
      <c r="A31" s="9"/>
      <c r="B31" s="9"/>
      <c r="C31" s="9"/>
      <c r="D31" s="9"/>
      <c r="E31" s="9"/>
      <c r="F31" s="9"/>
      <c r="G31" s="19" t="str">
        <f aca="false">IF(OR(E31="",F31=""),"",IF(AND(E31="Cao",F31="Cao"),"IA",IF(AND(E31="Cao",F31&lt;&gt;"Cao"),"INA",IF(AND(E31&lt;&gt;"Cao",F31="Cao"),"ANI","NINA"))))</f>
        <v/>
      </c>
      <c r="H31" s="9"/>
      <c r="I31" s="9"/>
      <c r="J31" s="9"/>
      <c r="K31" s="9"/>
      <c r="L31" s="9"/>
      <c r="M31" s="9"/>
      <c r="N31" s="9"/>
      <c r="O31" s="19" t="str">
        <f aca="false">IF(A31="","",COUNTIF(K31:N31,"Có"))</f>
        <v/>
      </c>
      <c r="P31" s="11"/>
      <c r="Q31" s="9"/>
    </row>
    <row r="32" customFormat="false" ht="15" hidden="false" customHeight="true" outlineLevel="0" collapsed="false">
      <c r="A32" s="9"/>
      <c r="B32" s="9"/>
      <c r="C32" s="9"/>
      <c r="D32" s="9"/>
      <c r="E32" s="9"/>
      <c r="F32" s="9"/>
      <c r="G32" s="19" t="str">
        <f aca="false">IF(OR(E32="",F32=""),"",IF(AND(E32="Cao",F32="Cao"),"IA",IF(AND(E32="Cao",F32&lt;&gt;"Cao"),"INA",IF(AND(E32&lt;&gt;"Cao",F32="Cao"),"ANI","NINA"))))</f>
        <v/>
      </c>
      <c r="H32" s="9"/>
      <c r="I32" s="9"/>
      <c r="J32" s="9"/>
      <c r="K32" s="9"/>
      <c r="L32" s="9"/>
      <c r="M32" s="9"/>
      <c r="N32" s="9"/>
      <c r="O32" s="19" t="str">
        <f aca="false">IF(A32="","",COUNTIF(K32:N32,"Có"))</f>
        <v/>
      </c>
      <c r="P32" s="11"/>
      <c r="Q32" s="9"/>
    </row>
    <row r="33" customFormat="false" ht="15" hidden="false" customHeight="true" outlineLevel="0" collapsed="false">
      <c r="A33" s="9"/>
      <c r="B33" s="9"/>
      <c r="C33" s="9"/>
      <c r="D33" s="9"/>
      <c r="E33" s="9"/>
      <c r="F33" s="9"/>
      <c r="G33" s="19" t="str">
        <f aca="false">IF(OR(E33="",F33=""),"",IF(AND(E33="Cao",F33="Cao"),"IA",IF(AND(E33="Cao",F33&lt;&gt;"Cao"),"INA",IF(AND(E33&lt;&gt;"Cao",F33="Cao"),"ANI","NINA"))))</f>
        <v/>
      </c>
      <c r="H33" s="9"/>
      <c r="I33" s="9"/>
      <c r="J33" s="9"/>
      <c r="K33" s="9"/>
      <c r="L33" s="9"/>
      <c r="M33" s="9"/>
      <c r="N33" s="9"/>
      <c r="O33" s="19" t="str">
        <f aca="false">IF(A33="","",COUNTIF(K33:N33,"Có"))</f>
        <v/>
      </c>
      <c r="P33" s="11"/>
      <c r="Q33" s="9"/>
    </row>
    <row r="34" customFormat="false" ht="15" hidden="false" customHeight="true" outlineLevel="0" collapsed="false">
      <c r="A34" s="9"/>
      <c r="B34" s="9"/>
      <c r="C34" s="9"/>
      <c r="D34" s="9"/>
      <c r="E34" s="9"/>
      <c r="F34" s="9"/>
      <c r="G34" s="19" t="str">
        <f aca="false">IF(OR(E34="",F34=""),"",IF(AND(E34="Cao",F34="Cao"),"IA",IF(AND(E34="Cao",F34&lt;&gt;"Cao"),"INA",IF(AND(E34&lt;&gt;"Cao",F34="Cao"),"ANI","NINA"))))</f>
        <v/>
      </c>
      <c r="H34" s="9"/>
      <c r="I34" s="9"/>
      <c r="J34" s="9"/>
      <c r="K34" s="9"/>
      <c r="L34" s="9"/>
      <c r="M34" s="9"/>
      <c r="N34" s="9"/>
      <c r="O34" s="19" t="str">
        <f aca="false">IF(A34="","",COUNTIF(K34:N34,"Có"))</f>
        <v/>
      </c>
      <c r="P34" s="11"/>
      <c r="Q34" s="9"/>
    </row>
    <row r="35" customFormat="false" ht="15" hidden="false" customHeight="true" outlineLevel="0" collapsed="false">
      <c r="A35" s="9"/>
      <c r="B35" s="9"/>
      <c r="C35" s="9"/>
      <c r="D35" s="9"/>
      <c r="E35" s="9"/>
      <c r="F35" s="9"/>
      <c r="G35" s="19" t="str">
        <f aca="false">IF(OR(E35="",F35=""),"",IF(AND(E35="Cao",F35="Cao"),"IA",IF(AND(E35="Cao",F35&lt;&gt;"Cao"),"INA",IF(AND(E35&lt;&gt;"Cao",F35="Cao"),"ANI","NINA"))))</f>
        <v/>
      </c>
      <c r="H35" s="9"/>
      <c r="I35" s="9"/>
      <c r="J35" s="9"/>
      <c r="K35" s="9"/>
      <c r="L35" s="9"/>
      <c r="M35" s="9"/>
      <c r="N35" s="9"/>
      <c r="O35" s="19" t="str">
        <f aca="false">IF(A35="","",COUNTIF(K35:N35,"Có"))</f>
        <v/>
      </c>
      <c r="P35" s="11"/>
      <c r="Q35" s="9"/>
    </row>
    <row r="36" customFormat="false" ht="15" hidden="false" customHeight="true" outlineLevel="0" collapsed="false">
      <c r="A36" s="9"/>
      <c r="B36" s="9"/>
      <c r="C36" s="9"/>
      <c r="D36" s="9"/>
      <c r="E36" s="9"/>
      <c r="F36" s="9"/>
      <c r="G36" s="19" t="str">
        <f aca="false">IF(OR(E36="",F36=""),"",IF(AND(E36="Cao",F36="Cao"),"IA",IF(AND(E36="Cao",F36&lt;&gt;"Cao"),"INA",IF(AND(E36&lt;&gt;"Cao",F36="Cao"),"ANI","NINA"))))</f>
        <v/>
      </c>
      <c r="H36" s="9"/>
      <c r="I36" s="9"/>
      <c r="J36" s="9"/>
      <c r="K36" s="9"/>
      <c r="L36" s="9"/>
      <c r="M36" s="9"/>
      <c r="N36" s="9"/>
      <c r="O36" s="19" t="str">
        <f aca="false">IF(A36="","",COUNTIF(K36:N36,"Có"))</f>
        <v/>
      </c>
      <c r="P36" s="11"/>
      <c r="Q36" s="9"/>
    </row>
    <row r="37" customFormat="false" ht="15" hidden="false" customHeight="true" outlineLevel="0" collapsed="false">
      <c r="A37" s="9"/>
      <c r="B37" s="9"/>
      <c r="C37" s="9"/>
      <c r="D37" s="9"/>
      <c r="E37" s="9"/>
      <c r="F37" s="9"/>
      <c r="G37" s="19" t="str">
        <f aca="false">IF(OR(E37="",F37=""),"",IF(AND(E37="Cao",F37="Cao"),"IA",IF(AND(E37="Cao",F37&lt;&gt;"Cao"),"INA",IF(AND(E37&lt;&gt;"Cao",F37="Cao"),"ANI","NINA"))))</f>
        <v/>
      </c>
      <c r="H37" s="9"/>
      <c r="I37" s="9"/>
      <c r="J37" s="9"/>
      <c r="K37" s="9"/>
      <c r="L37" s="9"/>
      <c r="M37" s="9"/>
      <c r="N37" s="9"/>
      <c r="O37" s="19" t="str">
        <f aca="false">IF(A37="","",COUNTIF(K37:N37,"Có"))</f>
        <v/>
      </c>
      <c r="P37" s="11"/>
      <c r="Q37" s="9"/>
    </row>
    <row r="38" customFormat="false" ht="15" hidden="false" customHeight="true" outlineLevel="0" collapsed="false">
      <c r="A38" s="9"/>
      <c r="B38" s="9"/>
      <c r="C38" s="9"/>
      <c r="D38" s="9"/>
      <c r="E38" s="9"/>
      <c r="F38" s="9"/>
      <c r="G38" s="19" t="str">
        <f aca="false">IF(OR(E38="",F38=""),"",IF(AND(E38="Cao",F38="Cao"),"IA",IF(AND(E38="Cao",F38&lt;&gt;"Cao"),"INA",IF(AND(E38&lt;&gt;"Cao",F38="Cao"),"ANI","NINA"))))</f>
        <v/>
      </c>
      <c r="H38" s="9"/>
      <c r="I38" s="9"/>
      <c r="J38" s="9"/>
      <c r="K38" s="9"/>
      <c r="L38" s="9"/>
      <c r="M38" s="9"/>
      <c r="N38" s="9"/>
      <c r="O38" s="19" t="str">
        <f aca="false">IF(A38="","",COUNTIF(K38:N38,"Có"))</f>
        <v/>
      </c>
      <c r="P38" s="11"/>
      <c r="Q38" s="9"/>
    </row>
    <row r="39" customFormat="false" ht="15" hidden="false" customHeight="true" outlineLevel="0" collapsed="false">
      <c r="A39" s="9"/>
      <c r="B39" s="9"/>
      <c r="C39" s="9"/>
      <c r="D39" s="9"/>
      <c r="E39" s="9"/>
      <c r="F39" s="9"/>
      <c r="G39" s="19" t="str">
        <f aca="false">IF(OR(E39="",F39=""),"",IF(AND(E39="Cao",F39="Cao"),"IA",IF(AND(E39="Cao",F39&lt;&gt;"Cao"),"INA",IF(AND(E39&lt;&gt;"Cao",F39="Cao"),"ANI","NINA"))))</f>
        <v/>
      </c>
      <c r="H39" s="9"/>
      <c r="I39" s="9"/>
      <c r="J39" s="9"/>
      <c r="K39" s="9"/>
      <c r="L39" s="9"/>
      <c r="M39" s="9"/>
      <c r="N39" s="9"/>
      <c r="O39" s="19" t="str">
        <f aca="false">IF(A39="","",COUNTIF(K39:N39,"Có"))</f>
        <v/>
      </c>
      <c r="P39" s="11"/>
      <c r="Q39" s="9"/>
    </row>
    <row r="40" customFormat="false" ht="15" hidden="false" customHeight="true" outlineLevel="0" collapsed="false">
      <c r="A40" s="9"/>
      <c r="B40" s="9"/>
      <c r="C40" s="9"/>
      <c r="D40" s="9"/>
      <c r="E40" s="9"/>
      <c r="F40" s="9"/>
      <c r="G40" s="19" t="str">
        <f aca="false">IF(OR(E40="",F40=""),"",IF(AND(E40="Cao",F40="Cao"),"IA",IF(AND(E40="Cao",F40&lt;&gt;"Cao"),"INA",IF(AND(E40&lt;&gt;"Cao",F40="Cao"),"ANI","NINA"))))</f>
        <v/>
      </c>
      <c r="H40" s="9"/>
      <c r="I40" s="9"/>
      <c r="J40" s="9"/>
      <c r="K40" s="9"/>
      <c r="L40" s="9"/>
      <c r="M40" s="9"/>
      <c r="N40" s="9"/>
      <c r="O40" s="19" t="str">
        <f aca="false">IF(A40="","",COUNTIF(K40:N40,"Có"))</f>
        <v/>
      </c>
      <c r="P40" s="11"/>
      <c r="Q40" s="9"/>
    </row>
    <row r="41" customFormat="false" ht="15" hidden="false" customHeight="true" outlineLevel="0" collapsed="false">
      <c r="A41" s="9"/>
      <c r="B41" s="9"/>
      <c r="C41" s="9"/>
      <c r="D41" s="9"/>
      <c r="E41" s="9"/>
      <c r="F41" s="9"/>
      <c r="G41" s="19" t="str">
        <f aca="false">IF(OR(E41="",F41=""),"",IF(AND(E41="Cao",F41="Cao"),"IA",IF(AND(E41="Cao",F41&lt;&gt;"Cao"),"INA",IF(AND(E41&lt;&gt;"Cao",F41="Cao"),"ANI","NINA"))))</f>
        <v/>
      </c>
      <c r="H41" s="9"/>
      <c r="I41" s="9"/>
      <c r="J41" s="9"/>
      <c r="K41" s="9"/>
      <c r="L41" s="9"/>
      <c r="M41" s="9"/>
      <c r="N41" s="9"/>
      <c r="O41" s="19" t="str">
        <f aca="false">IF(A41="","",COUNTIF(K41:N41,"Có"))</f>
        <v/>
      </c>
      <c r="P41" s="11"/>
      <c r="Q41" s="9"/>
    </row>
    <row r="42" customFormat="false" ht="15" hidden="false" customHeight="true" outlineLevel="0" collapsed="false">
      <c r="A42" s="9"/>
      <c r="B42" s="9"/>
      <c r="C42" s="9"/>
      <c r="D42" s="9"/>
      <c r="E42" s="9"/>
      <c r="F42" s="9"/>
      <c r="G42" s="19" t="str">
        <f aca="false">IF(OR(E42="",F42=""),"",IF(AND(E42="Cao",F42="Cao"),"IA",IF(AND(E42="Cao",F42&lt;&gt;"Cao"),"INA",IF(AND(E42&lt;&gt;"Cao",F42="Cao"),"ANI","NINA"))))</f>
        <v/>
      </c>
      <c r="H42" s="9"/>
      <c r="I42" s="9"/>
      <c r="J42" s="9"/>
      <c r="K42" s="9"/>
      <c r="L42" s="9"/>
      <c r="M42" s="9"/>
      <c r="N42" s="9"/>
      <c r="O42" s="19" t="str">
        <f aca="false">IF(A42="","",COUNTIF(K42:N42,"Có"))</f>
        <v/>
      </c>
      <c r="P42" s="11"/>
      <c r="Q42" s="9"/>
    </row>
    <row r="43" customFormat="false" ht="15" hidden="false" customHeight="true" outlineLevel="0" collapsed="false">
      <c r="A43" s="9"/>
      <c r="B43" s="9"/>
      <c r="C43" s="9"/>
      <c r="D43" s="9"/>
      <c r="E43" s="9"/>
      <c r="F43" s="9"/>
      <c r="G43" s="19" t="str">
        <f aca="false">IF(OR(E43="",F43=""),"",IF(AND(E43="Cao",F43="Cao"),"IA",IF(AND(E43="Cao",F43&lt;&gt;"Cao"),"INA",IF(AND(E43&lt;&gt;"Cao",F43="Cao"),"ANI","NINA"))))</f>
        <v/>
      </c>
      <c r="H43" s="9"/>
      <c r="I43" s="9"/>
      <c r="J43" s="9"/>
      <c r="K43" s="9"/>
      <c r="L43" s="9"/>
      <c r="M43" s="9"/>
      <c r="N43" s="9"/>
      <c r="O43" s="19" t="str">
        <f aca="false">IF(A43="","",COUNTIF(K43:N43,"Có"))</f>
        <v/>
      </c>
      <c r="P43" s="11"/>
      <c r="Q43" s="9"/>
    </row>
    <row r="44" customFormat="false" ht="15" hidden="false" customHeight="true" outlineLevel="0" collapsed="false">
      <c r="A44" s="9"/>
      <c r="B44" s="9"/>
      <c r="C44" s="9"/>
      <c r="D44" s="9"/>
      <c r="E44" s="9"/>
      <c r="F44" s="9"/>
      <c r="G44" s="19" t="str">
        <f aca="false">IF(OR(E44="",F44=""),"",IF(AND(E44="Cao",F44="Cao"),"IA",IF(AND(E44="Cao",F44&lt;&gt;"Cao"),"INA",IF(AND(E44&lt;&gt;"Cao",F44="Cao"),"ANI","NINA"))))</f>
        <v/>
      </c>
      <c r="H44" s="9"/>
      <c r="I44" s="9"/>
      <c r="J44" s="9"/>
      <c r="K44" s="9"/>
      <c r="L44" s="9"/>
      <c r="M44" s="9"/>
      <c r="N44" s="9"/>
      <c r="O44" s="19" t="str">
        <f aca="false">IF(A44="","",COUNTIF(K44:N44,"Có"))</f>
        <v/>
      </c>
      <c r="P44" s="11"/>
      <c r="Q44" s="9"/>
    </row>
    <row r="45" customFormat="false" ht="15" hidden="false" customHeight="true" outlineLevel="0" collapsed="false">
      <c r="A45" s="9"/>
      <c r="B45" s="9"/>
      <c r="C45" s="9"/>
      <c r="D45" s="9"/>
      <c r="E45" s="9"/>
      <c r="F45" s="9"/>
      <c r="G45" s="19" t="str">
        <f aca="false">IF(OR(E45="",F45=""),"",IF(AND(E45="Cao",F45="Cao"),"IA",IF(AND(E45="Cao",F45&lt;&gt;"Cao"),"INA",IF(AND(E45&lt;&gt;"Cao",F45="Cao"),"ANI","NINA"))))</f>
        <v/>
      </c>
      <c r="H45" s="9"/>
      <c r="I45" s="9"/>
      <c r="J45" s="9"/>
      <c r="K45" s="9"/>
      <c r="L45" s="9"/>
      <c r="M45" s="9"/>
      <c r="N45" s="9"/>
      <c r="O45" s="19" t="str">
        <f aca="false">IF(A45="","",COUNTIF(K45:N45,"Có"))</f>
        <v/>
      </c>
      <c r="P45" s="11"/>
      <c r="Q45" s="9"/>
    </row>
    <row r="47" customFormat="false" ht="15" hidden="false" customHeight="true" outlineLevel="0" collapsed="false">
      <c r="A47" s="3" t="s">
        <v>290</v>
      </c>
      <c r="B47" s="3"/>
      <c r="C47" s="3"/>
      <c r="D47" s="3"/>
      <c r="E47" s="3"/>
      <c r="F47" s="3"/>
      <c r="G47" s="3"/>
      <c r="H47" s="3"/>
      <c r="I47" s="3"/>
      <c r="J47" s="3"/>
    </row>
  </sheetData>
  <mergeCells count="3">
    <mergeCell ref="A1:H1"/>
    <mergeCell ref="A2:J2"/>
    <mergeCell ref="A47:J47"/>
  </mergeCells>
  <dataValidations count="10">
    <dataValidation allowBlank="true" errorStyle="stop" operator="between" showDropDown="false" showErrorMessage="false" showInputMessage="false" sqref="D6:D46" type="list">
      <formula1>_Lists!$F$2:$F$9</formula1>
      <formula2>0</formula2>
    </dataValidation>
    <dataValidation allowBlank="true" errorStyle="stop" operator="between" showDropDown="false" showErrorMessage="false" showInputMessage="false" sqref="E6:E46" type="list">
      <formula1>_Lists!$G$2:$G$4</formula1>
      <formula2>0</formula2>
    </dataValidation>
    <dataValidation allowBlank="true" errorStyle="stop" operator="between" showDropDown="false" showErrorMessage="false" showInputMessage="false" sqref="F6:F46" type="list">
      <formula1>_Lists!$G$2:$G$4</formula1>
      <formula2>0</formula2>
    </dataValidation>
    <dataValidation allowBlank="true" errorStyle="stop" operator="between" showDropDown="false" showErrorMessage="false" showInputMessage="false" sqref="H6:H46" type="list">
      <formula1>_Lists!$H$2:$H$6</formula1>
      <formula2>0</formula2>
    </dataValidation>
    <dataValidation allowBlank="true" errorStyle="stop" operator="between" showDropDown="false" showErrorMessage="false" showInputMessage="false" sqref="I6:I46" type="list">
      <formula1>_Lists!$E$2:$E$5</formula1>
      <formula2>0</formula2>
    </dataValidation>
    <dataValidation allowBlank="true" errorStyle="stop" operator="between" showDropDown="false" showErrorMessage="false" showInputMessage="false" sqref="J6:J46" type="list">
      <formula1>_Lists!$E$2:$E$5</formula1>
      <formula2>0</formula2>
    </dataValidation>
    <dataValidation allowBlank="true" errorStyle="stop" operator="between" showDropDown="false" showErrorMessage="false" showInputMessage="false" sqref="K6:K46" type="list">
      <formula1>_Lists!$E$2:$E$5</formula1>
      <formula2>0</formula2>
    </dataValidation>
    <dataValidation allowBlank="true" errorStyle="stop" operator="between" showDropDown="false" showErrorMessage="false" showInputMessage="false" sqref="L6:L46" type="list">
      <formula1>_Lists!$E$2:$E$5</formula1>
      <formula2>0</formula2>
    </dataValidation>
    <dataValidation allowBlank="true" errorStyle="stop" operator="between" showDropDown="false" showErrorMessage="false" showInputMessage="false" sqref="M6:M46" type="list">
      <formula1>_Lists!$E$2:$E$5</formula1>
      <formula2>0</formula2>
    </dataValidation>
    <dataValidation allowBlank="true" errorStyle="stop" operator="between" showDropDown="false" showErrorMessage="false" showInputMessage="false" sqref="N6:N46" type="list">
      <formula1>_Lists!$E$2:$E$5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52"/>
    <col collapsed="false" customWidth="true" hidden="false" outlineLevel="0" max="3" min="3" style="1" width="13"/>
    <col collapsed="false" customWidth="true" hidden="false" outlineLevel="0" max="4" min="4" style="1" width="40"/>
    <col collapsed="false" customWidth="true" hidden="false" outlineLevel="0" max="6" min="5" style="1" width="34"/>
    <col collapsed="false" customWidth="true" hidden="false" outlineLevel="0" max="7" min="7" style="1" width="14"/>
    <col collapsed="false" customWidth="true" hidden="false" outlineLevel="0" max="8" min="8" style="1" width="12"/>
  </cols>
  <sheetData>
    <row r="1" customFormat="false" ht="19.5" hidden="false" customHeight="true" outlineLevel="0" collapsed="false">
      <c r="A1" s="2" t="s">
        <v>291</v>
      </c>
      <c r="B1" s="2"/>
      <c r="C1" s="2"/>
      <c r="D1" s="2"/>
      <c r="E1" s="2"/>
      <c r="F1" s="2"/>
      <c r="G1" s="2"/>
      <c r="H1" s="2"/>
    </row>
    <row r="2" customFormat="false" ht="15.75" hidden="false" customHeight="true" outlineLevel="0" collapsed="false">
      <c r="A2" s="3" t="s">
        <v>292</v>
      </c>
      <c r="B2" s="3"/>
      <c r="C2" s="3"/>
      <c r="D2" s="3"/>
      <c r="E2" s="3"/>
      <c r="F2" s="3"/>
      <c r="G2" s="3"/>
      <c r="H2" s="3"/>
    </row>
    <row r="4" customFormat="false" ht="24" hidden="false" customHeight="true" outlineLevel="0" collapsed="false">
      <c r="A4" s="7" t="s">
        <v>293</v>
      </c>
      <c r="B4" s="7" t="s">
        <v>294</v>
      </c>
      <c r="C4" s="7" t="s">
        <v>295</v>
      </c>
      <c r="D4" s="7" t="s">
        <v>296</v>
      </c>
      <c r="E4" s="7" t="s">
        <v>297</v>
      </c>
      <c r="F4" s="7" t="s">
        <v>298</v>
      </c>
      <c r="G4" s="7" t="s">
        <v>299</v>
      </c>
      <c r="H4" s="7" t="s">
        <v>300</v>
      </c>
    </row>
    <row r="5" customFormat="false" ht="51.75" hidden="false" customHeight="true" outlineLevel="0" collapsed="false">
      <c r="A5" s="8" t="s">
        <v>301</v>
      </c>
      <c r="B5" s="10" t="s">
        <v>302</v>
      </c>
      <c r="C5" s="9" t="s">
        <v>85</v>
      </c>
      <c r="D5" s="9" t="s">
        <v>303</v>
      </c>
      <c r="E5" s="9"/>
      <c r="F5" s="9"/>
      <c r="G5" s="9"/>
      <c r="H5" s="9"/>
    </row>
    <row r="6" customFormat="false" ht="51.75" hidden="false" customHeight="true" outlineLevel="0" collapsed="false">
      <c r="A6" s="8" t="s">
        <v>304</v>
      </c>
      <c r="B6" s="10" t="s">
        <v>305</v>
      </c>
      <c r="C6" s="9" t="s">
        <v>85</v>
      </c>
      <c r="D6" s="9" t="s">
        <v>306</v>
      </c>
      <c r="E6" s="9"/>
      <c r="F6" s="9"/>
      <c r="G6" s="9"/>
      <c r="H6" s="9"/>
    </row>
    <row r="7" customFormat="false" ht="51.75" hidden="false" customHeight="true" outlineLevel="0" collapsed="false">
      <c r="A7" s="8" t="s">
        <v>307</v>
      </c>
      <c r="B7" s="10" t="s">
        <v>308</v>
      </c>
      <c r="C7" s="9" t="s">
        <v>85</v>
      </c>
      <c r="D7" s="9" t="s">
        <v>309</v>
      </c>
      <c r="E7" s="9"/>
      <c r="F7" s="9"/>
      <c r="G7" s="9"/>
      <c r="H7" s="9"/>
    </row>
    <row r="8" customFormat="false" ht="51.75" hidden="false" customHeight="true" outlineLevel="0" collapsed="false">
      <c r="A8" s="8" t="s">
        <v>310</v>
      </c>
      <c r="B8" s="10" t="s">
        <v>311</v>
      </c>
      <c r="C8" s="9" t="s">
        <v>85</v>
      </c>
      <c r="D8" s="9" t="s">
        <v>312</v>
      </c>
      <c r="E8" s="9"/>
      <c r="F8" s="9"/>
      <c r="G8" s="9"/>
      <c r="H8" s="9"/>
    </row>
    <row r="9" customFormat="false" ht="51.75" hidden="false" customHeight="true" outlineLevel="0" collapsed="false">
      <c r="A9" s="8" t="s">
        <v>313</v>
      </c>
      <c r="B9" s="10" t="s">
        <v>314</v>
      </c>
      <c r="C9" s="9" t="s">
        <v>85</v>
      </c>
      <c r="D9" s="9" t="s">
        <v>315</v>
      </c>
      <c r="E9" s="9"/>
      <c r="F9" s="9"/>
      <c r="G9" s="9"/>
      <c r="H9" s="9"/>
    </row>
    <row r="10" customFormat="false" ht="51.75" hidden="false" customHeight="true" outlineLevel="0" collapsed="false">
      <c r="A10" s="8" t="s">
        <v>316</v>
      </c>
      <c r="B10" s="10" t="s">
        <v>317</v>
      </c>
      <c r="C10" s="9" t="s">
        <v>70</v>
      </c>
      <c r="D10" s="9" t="s">
        <v>318</v>
      </c>
      <c r="E10" s="9"/>
      <c r="F10" s="9"/>
      <c r="G10" s="9"/>
      <c r="H10" s="9"/>
    </row>
    <row r="11" customFormat="false" ht="51.75" hidden="false" customHeight="true" outlineLevel="0" collapsed="false">
      <c r="A11" s="8" t="s">
        <v>319</v>
      </c>
      <c r="B11" s="10" t="s">
        <v>320</v>
      </c>
      <c r="C11" s="9" t="s">
        <v>85</v>
      </c>
      <c r="D11" s="9" t="s">
        <v>321</v>
      </c>
      <c r="E11" s="9"/>
      <c r="F11" s="9"/>
      <c r="G11" s="9"/>
      <c r="H11" s="9"/>
    </row>
    <row r="12" customFormat="false" ht="51.75" hidden="false" customHeight="true" outlineLevel="0" collapsed="false">
      <c r="A12" s="8" t="s">
        <v>322</v>
      </c>
      <c r="B12" s="10" t="s">
        <v>323</v>
      </c>
      <c r="C12" s="9" t="s">
        <v>70</v>
      </c>
      <c r="D12" s="9" t="s">
        <v>324</v>
      </c>
      <c r="E12" s="9"/>
      <c r="F12" s="9"/>
      <c r="G12" s="9"/>
      <c r="H12" s="9"/>
    </row>
    <row r="14" customFormat="false" ht="15" hidden="false" customHeight="true" outlineLevel="0" collapsed="false">
      <c r="A14" s="20" t="s">
        <v>325</v>
      </c>
    </row>
  </sheetData>
  <mergeCells count="2">
    <mergeCell ref="A1:H1"/>
    <mergeCell ref="A2:H2"/>
  </mergeCells>
  <dataValidations count="1">
    <dataValidation allowBlank="true" errorStyle="stop" operator="between" showDropDown="false" showErrorMessage="false" showInputMessage="false" sqref="C5:C13" type="list">
      <formula1>_Lists!$I$2:$I$4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4"/>
    <col collapsed="false" customWidth="true" hidden="false" outlineLevel="0" max="3" min="3" style="1" width="22"/>
    <col collapsed="false" customWidth="true" hidden="false" outlineLevel="0" max="4" min="4" style="1" width="50"/>
    <col collapsed="false" customWidth="true" hidden="false" outlineLevel="0" max="5" min="5" style="1" width="12"/>
    <col collapsed="false" customWidth="true" hidden="false" outlineLevel="0" max="6" min="6" style="1" width="14"/>
    <col collapsed="false" customWidth="true" hidden="false" outlineLevel="0" max="7" min="7" style="1" width="40"/>
    <col collapsed="false" customWidth="true" hidden="false" outlineLevel="0" max="8" min="8" style="1" width="14"/>
    <col collapsed="false" customWidth="true" hidden="false" outlineLevel="0" max="9" min="9" style="1" width="12"/>
    <col collapsed="false" customWidth="true" hidden="false" outlineLevel="0" max="10" min="10" style="1" width="30"/>
  </cols>
  <sheetData>
    <row r="1" customFormat="false" ht="19.5" hidden="false" customHeight="true" outlineLevel="0" collapsed="false">
      <c r="A1" s="2" t="s">
        <v>326</v>
      </c>
      <c r="B1" s="2"/>
      <c r="C1" s="2"/>
      <c r="D1" s="2"/>
      <c r="E1" s="2"/>
      <c r="F1" s="2"/>
      <c r="G1" s="2"/>
      <c r="H1" s="2"/>
    </row>
    <row r="2" customFormat="false" ht="15.75" hidden="false" customHeight="true" outlineLevel="0" collapsed="false">
      <c r="A2" s="3" t="s">
        <v>327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31.5" hidden="false" customHeight="true" outlineLevel="0" collapsed="false">
      <c r="A4" s="7" t="s">
        <v>328</v>
      </c>
      <c r="B4" s="7" t="s">
        <v>329</v>
      </c>
      <c r="C4" s="7" t="s">
        <v>330</v>
      </c>
      <c r="D4" s="7" t="s">
        <v>331</v>
      </c>
      <c r="E4" s="7" t="s">
        <v>332</v>
      </c>
      <c r="F4" s="7" t="s">
        <v>295</v>
      </c>
      <c r="G4" s="7" t="s">
        <v>333</v>
      </c>
      <c r="H4" s="7" t="s">
        <v>299</v>
      </c>
      <c r="I4" s="7" t="s">
        <v>300</v>
      </c>
      <c r="J4" s="7" t="s">
        <v>334</v>
      </c>
    </row>
    <row r="5" customFormat="false" ht="39.75" hidden="false" customHeight="true" outlineLevel="0" collapsed="false">
      <c r="A5" s="16" t="n">
        <v>46158</v>
      </c>
      <c r="B5" s="15" t="n">
        <v>3</v>
      </c>
      <c r="C5" s="15" t="s">
        <v>86</v>
      </c>
      <c r="D5" s="15" t="s">
        <v>335</v>
      </c>
      <c r="E5" s="15" t="s">
        <v>54</v>
      </c>
      <c r="F5" s="15" t="s">
        <v>72</v>
      </c>
      <c r="G5" s="15" t="s">
        <v>336</v>
      </c>
      <c r="H5" s="15" t="s">
        <v>145</v>
      </c>
      <c r="I5" s="16"/>
      <c r="J5" s="15"/>
    </row>
    <row r="6" customFormat="false" ht="15" hidden="false" customHeight="true" outlineLevel="0" collapsed="false">
      <c r="A6" s="11"/>
      <c r="B6" s="9"/>
      <c r="C6" s="9"/>
      <c r="D6" s="9"/>
      <c r="E6" s="9"/>
      <c r="F6" s="9"/>
      <c r="G6" s="9"/>
      <c r="H6" s="9"/>
      <c r="I6" s="11"/>
      <c r="J6" s="9"/>
    </row>
    <row r="7" customFormat="false" ht="15" hidden="false" customHeight="true" outlineLevel="0" collapsed="false">
      <c r="A7" s="11"/>
      <c r="B7" s="9"/>
      <c r="C7" s="9"/>
      <c r="D7" s="9"/>
      <c r="E7" s="9"/>
      <c r="F7" s="9"/>
      <c r="G7" s="9"/>
      <c r="H7" s="9"/>
      <c r="I7" s="11"/>
      <c r="J7" s="9"/>
    </row>
    <row r="8" customFormat="false" ht="15" hidden="false" customHeight="true" outlineLevel="0" collapsed="false">
      <c r="A8" s="11"/>
      <c r="B8" s="9"/>
      <c r="C8" s="9"/>
      <c r="D8" s="9"/>
      <c r="E8" s="9"/>
      <c r="F8" s="9"/>
      <c r="G8" s="9"/>
      <c r="H8" s="9"/>
      <c r="I8" s="11"/>
      <c r="J8" s="9"/>
    </row>
    <row r="9" customFormat="false" ht="15" hidden="false" customHeight="true" outlineLevel="0" collapsed="false">
      <c r="A9" s="11"/>
      <c r="B9" s="9"/>
      <c r="C9" s="9"/>
      <c r="D9" s="9"/>
      <c r="E9" s="9"/>
      <c r="F9" s="9"/>
      <c r="G9" s="9"/>
      <c r="H9" s="9"/>
      <c r="I9" s="11"/>
      <c r="J9" s="9"/>
    </row>
    <row r="10" customFormat="false" ht="15" hidden="false" customHeight="true" outlineLevel="0" collapsed="false">
      <c r="A10" s="11"/>
      <c r="B10" s="9"/>
      <c r="C10" s="9"/>
      <c r="D10" s="9"/>
      <c r="E10" s="9"/>
      <c r="F10" s="9"/>
      <c r="G10" s="9"/>
      <c r="H10" s="9"/>
      <c r="I10" s="11"/>
      <c r="J10" s="9"/>
    </row>
    <row r="11" customFormat="false" ht="15" hidden="false" customHeight="true" outlineLevel="0" collapsed="false">
      <c r="A11" s="11"/>
      <c r="B11" s="9"/>
      <c r="C11" s="9"/>
      <c r="D11" s="9"/>
      <c r="E11" s="9"/>
      <c r="F11" s="9"/>
      <c r="G11" s="9"/>
      <c r="H11" s="9"/>
      <c r="I11" s="11"/>
      <c r="J11" s="9"/>
    </row>
    <row r="12" customFormat="false" ht="15" hidden="false" customHeight="true" outlineLevel="0" collapsed="false">
      <c r="A12" s="11"/>
      <c r="B12" s="9"/>
      <c r="C12" s="9"/>
      <c r="D12" s="9"/>
      <c r="E12" s="9"/>
      <c r="F12" s="9"/>
      <c r="G12" s="9"/>
      <c r="H12" s="9"/>
      <c r="I12" s="11"/>
      <c r="J12" s="9"/>
    </row>
    <row r="13" customFormat="false" ht="15" hidden="false" customHeight="true" outlineLevel="0" collapsed="false">
      <c r="A13" s="11"/>
      <c r="B13" s="9"/>
      <c r="C13" s="9"/>
      <c r="D13" s="9"/>
      <c r="E13" s="9"/>
      <c r="F13" s="9"/>
      <c r="G13" s="9"/>
      <c r="H13" s="9"/>
      <c r="I13" s="11"/>
      <c r="J13" s="9"/>
    </row>
    <row r="14" customFormat="false" ht="15" hidden="false" customHeight="true" outlineLevel="0" collapsed="false">
      <c r="A14" s="11"/>
      <c r="B14" s="9"/>
      <c r="C14" s="9"/>
      <c r="D14" s="9"/>
      <c r="E14" s="9"/>
      <c r="F14" s="9"/>
      <c r="G14" s="9"/>
      <c r="H14" s="9"/>
      <c r="I14" s="11"/>
      <c r="J14" s="9"/>
    </row>
    <row r="15" customFormat="false" ht="15" hidden="false" customHeight="true" outlineLevel="0" collapsed="false">
      <c r="A15" s="11"/>
      <c r="B15" s="9"/>
      <c r="C15" s="9"/>
      <c r="D15" s="9"/>
      <c r="E15" s="9"/>
      <c r="F15" s="9"/>
      <c r="G15" s="9"/>
      <c r="H15" s="9"/>
      <c r="I15" s="11"/>
      <c r="J15" s="9"/>
    </row>
    <row r="16" customFormat="false" ht="15" hidden="false" customHeight="true" outlineLevel="0" collapsed="false">
      <c r="A16" s="11"/>
      <c r="B16" s="9"/>
      <c r="C16" s="9"/>
      <c r="D16" s="9"/>
      <c r="E16" s="9"/>
      <c r="F16" s="9"/>
      <c r="G16" s="9"/>
      <c r="H16" s="9"/>
      <c r="I16" s="11"/>
      <c r="J16" s="9"/>
    </row>
    <row r="17" customFormat="false" ht="15" hidden="false" customHeight="true" outlineLevel="0" collapsed="false">
      <c r="A17" s="11"/>
      <c r="B17" s="9"/>
      <c r="C17" s="9"/>
      <c r="D17" s="9"/>
      <c r="E17" s="9"/>
      <c r="F17" s="9"/>
      <c r="G17" s="9"/>
      <c r="H17" s="9"/>
      <c r="I17" s="11"/>
      <c r="J17" s="9"/>
    </row>
    <row r="18" customFormat="false" ht="15" hidden="false" customHeight="true" outlineLevel="0" collapsed="false">
      <c r="A18" s="11"/>
      <c r="B18" s="9"/>
      <c r="C18" s="9"/>
      <c r="D18" s="9"/>
      <c r="E18" s="9"/>
      <c r="F18" s="9"/>
      <c r="G18" s="9"/>
      <c r="H18" s="9"/>
      <c r="I18" s="11"/>
      <c r="J18" s="9"/>
    </row>
    <row r="19" customFormat="false" ht="15" hidden="false" customHeight="true" outlineLevel="0" collapsed="false">
      <c r="A19" s="11"/>
      <c r="B19" s="9"/>
      <c r="C19" s="9"/>
      <c r="D19" s="9"/>
      <c r="E19" s="9"/>
      <c r="F19" s="9"/>
      <c r="G19" s="9"/>
      <c r="H19" s="9"/>
      <c r="I19" s="11"/>
      <c r="J19" s="9"/>
    </row>
    <row r="20" customFormat="false" ht="15" hidden="false" customHeight="true" outlineLevel="0" collapsed="false">
      <c r="A20" s="11"/>
      <c r="B20" s="9"/>
      <c r="C20" s="9"/>
      <c r="D20" s="9"/>
      <c r="E20" s="9"/>
      <c r="F20" s="9"/>
      <c r="G20" s="9"/>
      <c r="H20" s="9"/>
      <c r="I20" s="11"/>
      <c r="J20" s="9"/>
    </row>
    <row r="21" customFormat="false" ht="15" hidden="false" customHeight="true" outlineLevel="0" collapsed="false">
      <c r="A21" s="11"/>
      <c r="B21" s="9"/>
      <c r="C21" s="9"/>
      <c r="D21" s="9"/>
      <c r="E21" s="9"/>
      <c r="F21" s="9"/>
      <c r="G21" s="9"/>
      <c r="H21" s="9"/>
      <c r="I21" s="11"/>
      <c r="J21" s="9"/>
    </row>
    <row r="22" customFormat="false" ht="15" hidden="false" customHeight="true" outlineLevel="0" collapsed="false">
      <c r="A22" s="11"/>
      <c r="B22" s="9"/>
      <c r="C22" s="9"/>
      <c r="D22" s="9"/>
      <c r="E22" s="9"/>
      <c r="F22" s="9"/>
      <c r="G22" s="9"/>
      <c r="H22" s="9"/>
      <c r="I22" s="11"/>
      <c r="J22" s="9"/>
    </row>
    <row r="23" customFormat="false" ht="15" hidden="false" customHeight="true" outlineLevel="0" collapsed="false">
      <c r="A23" s="11"/>
      <c r="B23" s="9"/>
      <c r="C23" s="9"/>
      <c r="D23" s="9"/>
      <c r="E23" s="9"/>
      <c r="F23" s="9"/>
      <c r="G23" s="9"/>
      <c r="H23" s="9"/>
      <c r="I23" s="11"/>
      <c r="J23" s="9"/>
    </row>
    <row r="24" customFormat="false" ht="15" hidden="false" customHeight="true" outlineLevel="0" collapsed="false">
      <c r="A24" s="11"/>
      <c r="B24" s="9"/>
      <c r="C24" s="9"/>
      <c r="D24" s="9"/>
      <c r="E24" s="9"/>
      <c r="F24" s="9"/>
      <c r="G24" s="9"/>
      <c r="H24" s="9"/>
      <c r="I24" s="11"/>
      <c r="J24" s="9"/>
    </row>
    <row r="25" customFormat="false" ht="15" hidden="false" customHeight="true" outlineLevel="0" collapsed="false">
      <c r="A25" s="11"/>
      <c r="B25" s="9"/>
      <c r="C25" s="9"/>
      <c r="D25" s="9"/>
      <c r="E25" s="9"/>
      <c r="F25" s="9"/>
      <c r="G25" s="9"/>
      <c r="H25" s="9"/>
      <c r="I25" s="11"/>
      <c r="J25" s="9"/>
    </row>
    <row r="26" customFormat="false" ht="15" hidden="false" customHeight="true" outlineLevel="0" collapsed="false">
      <c r="A26" s="11"/>
      <c r="B26" s="9"/>
      <c r="C26" s="9"/>
      <c r="D26" s="9"/>
      <c r="E26" s="9"/>
      <c r="F26" s="9"/>
      <c r="G26" s="9"/>
      <c r="H26" s="9"/>
      <c r="I26" s="11"/>
      <c r="J26" s="9"/>
    </row>
    <row r="27" customFormat="false" ht="15" hidden="false" customHeight="true" outlineLevel="0" collapsed="false">
      <c r="A27" s="11"/>
      <c r="B27" s="9"/>
      <c r="C27" s="9"/>
      <c r="D27" s="9"/>
      <c r="E27" s="9"/>
      <c r="F27" s="9"/>
      <c r="G27" s="9"/>
      <c r="H27" s="9"/>
      <c r="I27" s="11"/>
      <c r="J27" s="9"/>
    </row>
    <row r="28" customFormat="false" ht="15" hidden="false" customHeight="true" outlineLevel="0" collapsed="false">
      <c r="A28" s="11"/>
      <c r="B28" s="9"/>
      <c r="C28" s="9"/>
      <c r="D28" s="9"/>
      <c r="E28" s="9"/>
      <c r="F28" s="9"/>
      <c r="G28" s="9"/>
      <c r="H28" s="9"/>
      <c r="I28" s="11"/>
      <c r="J28" s="9"/>
    </row>
    <row r="29" customFormat="false" ht="15" hidden="false" customHeight="true" outlineLevel="0" collapsed="false">
      <c r="A29" s="11"/>
      <c r="B29" s="9"/>
      <c r="C29" s="9"/>
      <c r="D29" s="9"/>
      <c r="E29" s="9"/>
      <c r="F29" s="9"/>
      <c r="G29" s="9"/>
      <c r="H29" s="9"/>
      <c r="I29" s="11"/>
      <c r="J29" s="9"/>
    </row>
    <row r="30" customFormat="false" ht="15" hidden="false" customHeight="true" outlineLevel="0" collapsed="false">
      <c r="A30" s="11"/>
      <c r="B30" s="9"/>
      <c r="C30" s="9"/>
      <c r="D30" s="9"/>
      <c r="E30" s="9"/>
      <c r="F30" s="9"/>
      <c r="G30" s="9"/>
      <c r="H30" s="9"/>
      <c r="I30" s="11"/>
      <c r="J30" s="9"/>
    </row>
    <row r="31" customFormat="false" ht="15" hidden="false" customHeight="true" outlineLevel="0" collapsed="false">
      <c r="A31" s="11"/>
      <c r="B31" s="9"/>
      <c r="C31" s="9"/>
      <c r="D31" s="9"/>
      <c r="E31" s="9"/>
      <c r="F31" s="9"/>
      <c r="G31" s="9"/>
      <c r="H31" s="9"/>
      <c r="I31" s="11"/>
      <c r="J31" s="9"/>
    </row>
    <row r="32" customFormat="false" ht="15" hidden="false" customHeight="true" outlineLevel="0" collapsed="false">
      <c r="A32" s="11"/>
      <c r="B32" s="9"/>
      <c r="C32" s="9"/>
      <c r="D32" s="9"/>
      <c r="E32" s="9"/>
      <c r="F32" s="9"/>
      <c r="G32" s="9"/>
      <c r="H32" s="9"/>
      <c r="I32" s="11"/>
      <c r="J32" s="9"/>
    </row>
    <row r="33" customFormat="false" ht="15" hidden="false" customHeight="true" outlineLevel="0" collapsed="false">
      <c r="A33" s="11"/>
      <c r="B33" s="9"/>
      <c r="C33" s="9"/>
      <c r="D33" s="9"/>
      <c r="E33" s="9"/>
      <c r="F33" s="9"/>
      <c r="G33" s="9"/>
      <c r="H33" s="9"/>
      <c r="I33" s="11"/>
      <c r="J33" s="9"/>
    </row>
    <row r="34" customFormat="false" ht="15" hidden="false" customHeight="true" outlineLevel="0" collapsed="false">
      <c r="A34" s="11"/>
      <c r="B34" s="9"/>
      <c r="C34" s="9"/>
      <c r="D34" s="9"/>
      <c r="E34" s="9"/>
      <c r="F34" s="9"/>
      <c r="G34" s="9"/>
      <c r="H34" s="9"/>
      <c r="I34" s="11"/>
      <c r="J34" s="9"/>
    </row>
    <row r="35" customFormat="false" ht="15" hidden="false" customHeight="true" outlineLevel="0" collapsed="false">
      <c r="A35" s="11"/>
      <c r="B35" s="9"/>
      <c r="C35" s="9"/>
      <c r="D35" s="9"/>
      <c r="E35" s="9"/>
      <c r="F35" s="9"/>
      <c r="G35" s="9"/>
      <c r="H35" s="9"/>
      <c r="I35" s="11"/>
      <c r="J35" s="9"/>
    </row>
    <row r="36" customFormat="false" ht="15" hidden="false" customHeight="true" outlineLevel="0" collapsed="false">
      <c r="A36" s="11"/>
      <c r="B36" s="9"/>
      <c r="C36" s="9"/>
      <c r="D36" s="9"/>
      <c r="E36" s="9"/>
      <c r="F36" s="9"/>
      <c r="G36" s="9"/>
      <c r="H36" s="9"/>
      <c r="I36" s="11"/>
      <c r="J36" s="9"/>
    </row>
    <row r="37" customFormat="false" ht="15" hidden="false" customHeight="true" outlineLevel="0" collapsed="false">
      <c r="A37" s="11"/>
      <c r="B37" s="9"/>
      <c r="C37" s="9"/>
      <c r="D37" s="9"/>
      <c r="E37" s="9"/>
      <c r="F37" s="9"/>
      <c r="G37" s="9"/>
      <c r="H37" s="9"/>
      <c r="I37" s="11"/>
      <c r="J37" s="9"/>
    </row>
    <row r="38" customFormat="false" ht="15" hidden="false" customHeight="true" outlineLevel="0" collapsed="false">
      <c r="A38" s="11"/>
      <c r="B38" s="9"/>
      <c r="C38" s="9"/>
      <c r="D38" s="9"/>
      <c r="E38" s="9"/>
      <c r="F38" s="9"/>
      <c r="G38" s="9"/>
      <c r="H38" s="9"/>
      <c r="I38" s="11"/>
      <c r="J38" s="9"/>
    </row>
    <row r="39" customFormat="false" ht="15" hidden="false" customHeight="true" outlineLevel="0" collapsed="false">
      <c r="A39" s="11"/>
      <c r="B39" s="9"/>
      <c r="C39" s="9"/>
      <c r="D39" s="9"/>
      <c r="E39" s="9"/>
      <c r="F39" s="9"/>
      <c r="G39" s="9"/>
      <c r="H39" s="9"/>
      <c r="I39" s="11"/>
      <c r="J39" s="9"/>
    </row>
    <row r="40" customFormat="false" ht="15" hidden="false" customHeight="true" outlineLevel="0" collapsed="false">
      <c r="A40" s="11"/>
      <c r="B40" s="9"/>
      <c r="C40" s="9"/>
      <c r="D40" s="9"/>
      <c r="E40" s="9"/>
      <c r="F40" s="9"/>
      <c r="G40" s="9"/>
      <c r="H40" s="9"/>
      <c r="I40" s="11"/>
      <c r="J40" s="9"/>
    </row>
    <row r="41" customFormat="false" ht="15" hidden="false" customHeight="true" outlineLevel="0" collapsed="false">
      <c r="A41" s="11"/>
      <c r="B41" s="9"/>
      <c r="C41" s="9"/>
      <c r="D41" s="9"/>
      <c r="E41" s="9"/>
      <c r="F41" s="9"/>
      <c r="G41" s="9"/>
      <c r="H41" s="9"/>
      <c r="I41" s="11"/>
      <c r="J41" s="9"/>
    </row>
    <row r="42" customFormat="false" ht="15" hidden="false" customHeight="true" outlineLevel="0" collapsed="false">
      <c r="A42" s="11"/>
      <c r="B42" s="9"/>
      <c r="C42" s="9"/>
      <c r="D42" s="9"/>
      <c r="E42" s="9"/>
      <c r="F42" s="9"/>
      <c r="G42" s="9"/>
      <c r="H42" s="9"/>
      <c r="I42" s="11"/>
      <c r="J42" s="9"/>
    </row>
    <row r="43" customFormat="false" ht="15" hidden="false" customHeight="true" outlineLevel="0" collapsed="false">
      <c r="A43" s="11"/>
      <c r="B43" s="9"/>
      <c r="C43" s="9"/>
      <c r="D43" s="9"/>
      <c r="E43" s="9"/>
      <c r="F43" s="9"/>
      <c r="G43" s="9"/>
      <c r="H43" s="9"/>
      <c r="I43" s="11"/>
      <c r="J43" s="9"/>
    </row>
    <row r="44" customFormat="false" ht="15" hidden="false" customHeight="true" outlineLevel="0" collapsed="false">
      <c r="A44" s="11"/>
      <c r="B44" s="9"/>
      <c r="C44" s="9"/>
      <c r="D44" s="9"/>
      <c r="E44" s="9"/>
      <c r="F44" s="9"/>
      <c r="G44" s="9"/>
      <c r="H44" s="9"/>
      <c r="I44" s="11"/>
      <c r="J44" s="9"/>
    </row>
    <row r="45" customFormat="false" ht="15" hidden="false" customHeight="true" outlineLevel="0" collapsed="false">
      <c r="A45" s="11"/>
      <c r="B45" s="9"/>
      <c r="C45" s="9"/>
      <c r="D45" s="9"/>
      <c r="E45" s="9"/>
      <c r="F45" s="9"/>
      <c r="G45" s="9"/>
      <c r="H45" s="9"/>
      <c r="I45" s="11"/>
      <c r="J45" s="9"/>
    </row>
    <row r="46" customFormat="false" ht="15" hidden="false" customHeight="true" outlineLevel="0" collapsed="false">
      <c r="A46" s="11"/>
      <c r="B46" s="9"/>
      <c r="C46" s="9"/>
      <c r="D46" s="9"/>
      <c r="E46" s="9"/>
      <c r="F46" s="9"/>
      <c r="G46" s="9"/>
      <c r="H46" s="9"/>
      <c r="I46" s="11"/>
      <c r="J46" s="9"/>
    </row>
    <row r="47" customFormat="false" ht="15" hidden="false" customHeight="true" outlineLevel="0" collapsed="false">
      <c r="A47" s="11"/>
      <c r="B47" s="9"/>
      <c r="C47" s="9"/>
      <c r="D47" s="9"/>
      <c r="E47" s="9"/>
      <c r="F47" s="9"/>
      <c r="G47" s="9"/>
      <c r="H47" s="9"/>
      <c r="I47" s="11"/>
      <c r="J47" s="9"/>
    </row>
    <row r="48" customFormat="false" ht="15" hidden="false" customHeight="true" outlineLevel="0" collapsed="false">
      <c r="A48" s="11"/>
      <c r="B48" s="9"/>
      <c r="C48" s="9"/>
      <c r="D48" s="9"/>
      <c r="E48" s="9"/>
      <c r="F48" s="9"/>
      <c r="G48" s="9"/>
      <c r="H48" s="9"/>
      <c r="I48" s="11"/>
      <c r="J48" s="9"/>
    </row>
    <row r="49" customFormat="false" ht="15" hidden="false" customHeight="true" outlineLevel="0" collapsed="false">
      <c r="A49" s="11"/>
      <c r="B49" s="9"/>
      <c r="C49" s="9"/>
      <c r="D49" s="9"/>
      <c r="E49" s="9"/>
      <c r="F49" s="9"/>
      <c r="G49" s="9"/>
      <c r="H49" s="9"/>
      <c r="I49" s="11"/>
      <c r="J49" s="9"/>
    </row>
    <row r="50" customFormat="false" ht="15" hidden="false" customHeight="true" outlineLevel="0" collapsed="false">
      <c r="A50" s="11"/>
      <c r="B50" s="9"/>
      <c r="C50" s="9"/>
      <c r="D50" s="9"/>
      <c r="E50" s="9"/>
      <c r="F50" s="9"/>
      <c r="G50" s="9"/>
      <c r="H50" s="9"/>
      <c r="I50" s="11"/>
      <c r="J50" s="9"/>
    </row>
    <row r="51" customFormat="false" ht="15" hidden="false" customHeight="true" outlineLevel="0" collapsed="false">
      <c r="A51" s="11"/>
      <c r="B51" s="9"/>
      <c r="C51" s="9"/>
      <c r="D51" s="9"/>
      <c r="E51" s="9"/>
      <c r="F51" s="9"/>
      <c r="G51" s="9"/>
      <c r="H51" s="9"/>
      <c r="I51" s="11"/>
      <c r="J51" s="9"/>
    </row>
    <row r="52" customFormat="false" ht="15" hidden="false" customHeight="true" outlineLevel="0" collapsed="false">
      <c r="A52" s="11"/>
      <c r="B52" s="9"/>
      <c r="C52" s="9"/>
      <c r="D52" s="9"/>
      <c r="E52" s="9"/>
      <c r="F52" s="9"/>
      <c r="G52" s="9"/>
      <c r="H52" s="9"/>
      <c r="I52" s="11"/>
      <c r="J52" s="9"/>
    </row>
    <row r="53" customFormat="false" ht="15" hidden="false" customHeight="true" outlineLevel="0" collapsed="false">
      <c r="A53" s="11"/>
      <c r="B53" s="9"/>
      <c r="C53" s="9"/>
      <c r="D53" s="9"/>
      <c r="E53" s="9"/>
      <c r="F53" s="9"/>
      <c r="G53" s="9"/>
      <c r="H53" s="9"/>
      <c r="I53" s="11"/>
      <c r="J53" s="9"/>
    </row>
    <row r="54" customFormat="false" ht="15" hidden="false" customHeight="true" outlineLevel="0" collapsed="false">
      <c r="A54" s="11"/>
      <c r="B54" s="9"/>
      <c r="C54" s="9"/>
      <c r="D54" s="9"/>
      <c r="E54" s="9"/>
      <c r="F54" s="9"/>
      <c r="G54" s="9"/>
      <c r="H54" s="9"/>
      <c r="I54" s="11"/>
      <c r="J54" s="9"/>
    </row>
    <row r="55" customFormat="false" ht="15" hidden="false" customHeight="true" outlineLevel="0" collapsed="false">
      <c r="A55" s="11"/>
      <c r="B55" s="9"/>
      <c r="C55" s="9"/>
      <c r="D55" s="9"/>
      <c r="E55" s="9"/>
      <c r="F55" s="9"/>
      <c r="G55" s="9"/>
      <c r="H55" s="9"/>
      <c r="I55" s="11"/>
      <c r="J55" s="9"/>
    </row>
  </sheetData>
  <mergeCells count="2">
    <mergeCell ref="A1:H1"/>
    <mergeCell ref="A2:J2"/>
  </mergeCells>
  <dataValidations count="3">
    <dataValidation allowBlank="true" errorStyle="stop" operator="between" showDropDown="false" showErrorMessage="false" showInputMessage="false" sqref="C6:C56" type="list">
      <formula1>_Lists!$J$2:$J$11</formula1>
      <formula2>0</formula2>
    </dataValidation>
    <dataValidation allowBlank="true" errorStyle="stop" operator="between" showDropDown="false" showErrorMessage="false" showInputMessage="false" sqref="E6:E56" type="list">
      <formula1>_Lists!$G$2:$G$4</formula1>
      <formula2>0</formula2>
    </dataValidation>
    <dataValidation allowBlank="true" errorStyle="stop" operator="between" showDropDown="false" showErrorMessage="false" showInputMessage="false" sqref="F6:F56" type="list">
      <formula1>_Lists!$K$2:$K$5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30"/>
    <col collapsed="false" customWidth="true" hidden="false" outlineLevel="0" max="4" min="3" style="1" width="34"/>
    <col collapsed="false" customWidth="true" hidden="false" outlineLevel="0" max="5" min="5" style="1" width="22"/>
    <col collapsed="false" customWidth="true" hidden="false" outlineLevel="0" max="6" min="6" style="1" width="40"/>
    <col collapsed="false" customWidth="true" hidden="false" outlineLevel="0" max="7" min="7" style="1" width="28"/>
  </cols>
  <sheetData>
    <row r="1" customFormat="false" ht="19.5" hidden="false" customHeight="true" outlineLevel="0" collapsed="false">
      <c r="A1" s="2" t="s">
        <v>337</v>
      </c>
      <c r="B1" s="2"/>
      <c r="C1" s="2"/>
      <c r="D1" s="2"/>
      <c r="E1" s="2"/>
      <c r="F1" s="2"/>
      <c r="G1" s="2"/>
    </row>
    <row r="2" customFormat="false" ht="15.75" hidden="false" customHeight="true" outlineLevel="0" collapsed="false">
      <c r="A2" s="3" t="s">
        <v>338</v>
      </c>
      <c r="B2" s="3"/>
      <c r="C2" s="3"/>
      <c r="D2" s="3"/>
      <c r="E2" s="3"/>
      <c r="F2" s="3"/>
      <c r="G2" s="3"/>
    </row>
    <row r="4" customFormat="false" ht="31.5" hidden="false" customHeight="true" outlineLevel="0" collapsed="false">
      <c r="A4" s="7" t="s">
        <v>339</v>
      </c>
      <c r="B4" s="7" t="s">
        <v>330</v>
      </c>
      <c r="C4" s="7" t="s">
        <v>340</v>
      </c>
      <c r="D4" s="7" t="s">
        <v>341</v>
      </c>
      <c r="E4" s="7" t="s">
        <v>342</v>
      </c>
      <c r="F4" s="7" t="s">
        <v>343</v>
      </c>
      <c r="G4" s="7" t="s">
        <v>344</v>
      </c>
    </row>
    <row r="5" customFormat="false" ht="48" hidden="false" customHeight="true" outlineLevel="0" collapsed="false">
      <c r="A5" s="15" t="s">
        <v>345</v>
      </c>
      <c r="B5" s="15" t="s">
        <v>100</v>
      </c>
      <c r="C5" s="15" t="s">
        <v>346</v>
      </c>
      <c r="D5" s="15" t="s">
        <v>347</v>
      </c>
      <c r="E5" s="15" t="s">
        <v>348</v>
      </c>
      <c r="F5" s="15" t="s">
        <v>349</v>
      </c>
      <c r="G5" s="15" t="s">
        <v>350</v>
      </c>
    </row>
    <row r="6" customFormat="false" ht="15" hidden="false" customHeight="true" outlineLevel="0" collapsed="false">
      <c r="A6" s="9"/>
      <c r="B6" s="9"/>
      <c r="C6" s="9"/>
      <c r="D6" s="9"/>
      <c r="E6" s="9"/>
      <c r="F6" s="9"/>
      <c r="G6" s="9"/>
    </row>
    <row r="7" customFormat="false" ht="15" hidden="false" customHeight="true" outlineLevel="0" collapsed="false">
      <c r="A7" s="9"/>
      <c r="B7" s="9"/>
      <c r="C7" s="9"/>
      <c r="D7" s="9"/>
      <c r="E7" s="9"/>
      <c r="F7" s="9"/>
      <c r="G7" s="9"/>
    </row>
    <row r="8" customFormat="false" ht="15" hidden="false" customHeight="true" outlineLevel="0" collapsed="false">
      <c r="A8" s="9"/>
      <c r="B8" s="9"/>
      <c r="C8" s="9"/>
      <c r="D8" s="9"/>
      <c r="E8" s="9"/>
      <c r="F8" s="9"/>
      <c r="G8" s="9"/>
    </row>
    <row r="9" customFormat="false" ht="15" hidden="false" customHeight="true" outlineLevel="0" collapsed="false">
      <c r="A9" s="9"/>
      <c r="B9" s="9"/>
      <c r="C9" s="9"/>
      <c r="D9" s="9"/>
      <c r="E9" s="9"/>
      <c r="F9" s="9"/>
      <c r="G9" s="9"/>
    </row>
    <row r="10" customFormat="false" ht="15" hidden="false" customHeight="true" outlineLevel="0" collapsed="false">
      <c r="A10" s="9"/>
      <c r="B10" s="9"/>
      <c r="C10" s="9"/>
      <c r="D10" s="9"/>
      <c r="E10" s="9"/>
      <c r="F10" s="9"/>
      <c r="G10" s="9"/>
    </row>
    <row r="11" customFormat="false" ht="15" hidden="false" customHeight="true" outlineLevel="0" collapsed="false">
      <c r="A11" s="9"/>
      <c r="B11" s="9"/>
      <c r="C11" s="9"/>
      <c r="D11" s="9"/>
      <c r="E11" s="9"/>
      <c r="F11" s="9"/>
      <c r="G11" s="9"/>
    </row>
    <row r="12" customFormat="false" ht="15" hidden="false" customHeight="true" outlineLevel="0" collapsed="false">
      <c r="A12" s="9"/>
      <c r="B12" s="9"/>
      <c r="C12" s="9"/>
      <c r="D12" s="9"/>
      <c r="E12" s="9"/>
      <c r="F12" s="9"/>
      <c r="G12" s="9"/>
    </row>
    <row r="13" customFormat="false" ht="15" hidden="false" customHeight="true" outlineLevel="0" collapsed="false">
      <c r="A13" s="9"/>
      <c r="B13" s="9"/>
      <c r="C13" s="9"/>
      <c r="D13" s="9"/>
      <c r="E13" s="9"/>
      <c r="F13" s="9"/>
      <c r="G13" s="9"/>
    </row>
    <row r="14" customFormat="false" ht="15" hidden="false" customHeight="true" outlineLevel="0" collapsed="false">
      <c r="A14" s="9"/>
      <c r="B14" s="9"/>
      <c r="C14" s="9"/>
      <c r="D14" s="9"/>
      <c r="E14" s="9"/>
      <c r="F14" s="9"/>
      <c r="G14" s="9"/>
    </row>
    <row r="15" customFormat="false" ht="15" hidden="false" customHeight="true" outlineLevel="0" collapsed="false">
      <c r="A15" s="9"/>
      <c r="B15" s="9"/>
      <c r="C15" s="9"/>
      <c r="D15" s="9"/>
      <c r="E15" s="9"/>
      <c r="F15" s="9"/>
      <c r="G15" s="9"/>
    </row>
    <row r="16" customFormat="false" ht="15" hidden="false" customHeight="true" outlineLevel="0" collapsed="false">
      <c r="A16" s="9"/>
      <c r="B16" s="9"/>
      <c r="C16" s="9"/>
      <c r="D16" s="9"/>
      <c r="E16" s="9"/>
      <c r="F16" s="9"/>
      <c r="G16" s="9"/>
    </row>
    <row r="17" customFormat="false" ht="15" hidden="false" customHeight="true" outlineLevel="0" collapsed="false">
      <c r="A17" s="9"/>
      <c r="B17" s="9"/>
      <c r="C17" s="9"/>
      <c r="D17" s="9"/>
      <c r="E17" s="9"/>
      <c r="F17" s="9"/>
      <c r="G17" s="9"/>
    </row>
    <row r="18" customFormat="false" ht="15" hidden="false" customHeight="true" outlineLevel="0" collapsed="false">
      <c r="A18" s="9"/>
      <c r="B18" s="9"/>
      <c r="C18" s="9"/>
      <c r="D18" s="9"/>
      <c r="E18" s="9"/>
      <c r="F18" s="9"/>
      <c r="G18" s="9"/>
    </row>
    <row r="19" customFormat="false" ht="15" hidden="false" customHeight="true" outlineLevel="0" collapsed="false">
      <c r="A19" s="9"/>
      <c r="B19" s="9"/>
      <c r="C19" s="9"/>
      <c r="D19" s="9"/>
      <c r="E19" s="9"/>
      <c r="F19" s="9"/>
      <c r="G19" s="9"/>
    </row>
    <row r="20" customFormat="false" ht="15" hidden="false" customHeight="true" outlineLevel="0" collapsed="false">
      <c r="A20" s="9"/>
      <c r="B20" s="9"/>
      <c r="C20" s="9"/>
      <c r="D20" s="9"/>
      <c r="E20" s="9"/>
      <c r="F20" s="9"/>
      <c r="G20" s="9"/>
    </row>
    <row r="21" customFormat="false" ht="15" hidden="false" customHeight="true" outlineLevel="0" collapsed="false">
      <c r="A21" s="9"/>
      <c r="B21" s="9"/>
      <c r="C21" s="9"/>
      <c r="D21" s="9"/>
      <c r="E21" s="9"/>
      <c r="F21" s="9"/>
      <c r="G21" s="9"/>
    </row>
    <row r="22" customFormat="false" ht="15" hidden="false" customHeight="true" outlineLevel="0" collapsed="false">
      <c r="A22" s="9"/>
      <c r="B22" s="9"/>
      <c r="C22" s="9"/>
      <c r="D22" s="9"/>
      <c r="E22" s="9"/>
      <c r="F22" s="9"/>
      <c r="G22" s="9"/>
    </row>
    <row r="23" customFormat="false" ht="15" hidden="false" customHeight="true" outlineLevel="0" collapsed="false">
      <c r="A23" s="9"/>
      <c r="B23" s="9"/>
      <c r="C23" s="9"/>
      <c r="D23" s="9"/>
      <c r="E23" s="9"/>
      <c r="F23" s="9"/>
      <c r="G23" s="9"/>
    </row>
    <row r="24" customFormat="false" ht="15" hidden="false" customHeight="true" outlineLevel="0" collapsed="false">
      <c r="A24" s="9"/>
      <c r="B24" s="9"/>
      <c r="C24" s="9"/>
      <c r="D24" s="9"/>
      <c r="E24" s="9"/>
      <c r="F24" s="9"/>
      <c r="G24" s="9"/>
    </row>
    <row r="25" customFormat="false" ht="15" hidden="false" customHeight="true" outlineLevel="0" collapsed="false">
      <c r="A25" s="9"/>
      <c r="B25" s="9"/>
      <c r="C25" s="9"/>
      <c r="D25" s="9"/>
      <c r="E25" s="9"/>
      <c r="F25" s="9"/>
      <c r="G25" s="9"/>
    </row>
  </sheetData>
  <mergeCells count="2">
    <mergeCell ref="A1:G1"/>
    <mergeCell ref="A2:G2"/>
  </mergeCells>
  <dataValidations count="1">
    <dataValidation allowBlank="true" errorStyle="stop" operator="between" showDropDown="false" showErrorMessage="false" showInputMessage="false" sqref="B6:B26" type="list">
      <formula1>_Lists!$L$2:$L$5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32"/>
    <col collapsed="false" customWidth="true" hidden="false" outlineLevel="0" max="4" min="3" style="1" width="26"/>
    <col collapsed="false" customWidth="true" hidden="false" outlineLevel="0" max="5" min="5" style="1" width="12"/>
    <col collapsed="false" customWidth="true" hidden="false" outlineLevel="0" max="6" min="6" style="1" width="20"/>
    <col collapsed="false" customWidth="true" hidden="false" outlineLevel="0" max="7" min="7" style="1" width="22"/>
    <col collapsed="false" customWidth="true" hidden="false" outlineLevel="0" max="8" min="8" style="1" width="30"/>
    <col collapsed="false" customWidth="true" hidden="false" outlineLevel="0" max="9" min="9" style="1" width="22"/>
  </cols>
  <sheetData>
    <row r="1" customFormat="false" ht="19.5" hidden="false" customHeight="true" outlineLevel="0" collapsed="false">
      <c r="A1" s="2" t="s">
        <v>351</v>
      </c>
      <c r="B1" s="2"/>
      <c r="C1" s="2"/>
      <c r="D1" s="2"/>
      <c r="E1" s="2"/>
      <c r="F1" s="2"/>
      <c r="G1" s="2"/>
      <c r="H1" s="2"/>
    </row>
    <row r="2" customFormat="false" ht="15.75" hidden="false" customHeight="true" outlineLevel="0" collapsed="false">
      <c r="A2" s="3" t="s">
        <v>352</v>
      </c>
      <c r="B2" s="3"/>
      <c r="C2" s="3"/>
      <c r="D2" s="3"/>
      <c r="E2" s="3"/>
      <c r="F2" s="3"/>
      <c r="G2" s="3"/>
      <c r="H2" s="3"/>
      <c r="I2" s="3"/>
    </row>
    <row r="4" customFormat="false" ht="31.5" hidden="false" customHeight="true" outlineLevel="0" collapsed="false">
      <c r="A4" s="7" t="s">
        <v>353</v>
      </c>
      <c r="B4" s="7" t="s">
        <v>354</v>
      </c>
      <c r="C4" s="7" t="s">
        <v>355</v>
      </c>
      <c r="D4" s="7" t="s">
        <v>356</v>
      </c>
      <c r="E4" s="7" t="s">
        <v>357</v>
      </c>
      <c r="F4" s="7" t="s">
        <v>358</v>
      </c>
      <c r="G4" s="7" t="s">
        <v>359</v>
      </c>
      <c r="H4" s="7" t="s">
        <v>360</v>
      </c>
      <c r="I4" s="7" t="s">
        <v>361</v>
      </c>
    </row>
    <row r="5" customFormat="false" ht="39.75" hidden="false" customHeight="true" outlineLevel="0" collapsed="false">
      <c r="A5" s="15" t="s">
        <v>101</v>
      </c>
      <c r="B5" s="15" t="s">
        <v>362</v>
      </c>
      <c r="C5" s="15" t="s">
        <v>363</v>
      </c>
      <c r="D5" s="15" t="s">
        <v>364</v>
      </c>
      <c r="E5" s="15" t="s">
        <v>365</v>
      </c>
      <c r="F5" s="21"/>
      <c r="G5" s="21"/>
      <c r="H5" s="15" t="s">
        <v>366</v>
      </c>
      <c r="I5" s="15" t="s">
        <v>77</v>
      </c>
    </row>
    <row r="6" customFormat="false" ht="15" hidden="false" customHeight="true" outlineLevel="0" collapsed="false">
      <c r="A6" s="9"/>
      <c r="B6" s="9"/>
      <c r="C6" s="9"/>
      <c r="D6" s="9"/>
      <c r="E6" s="9"/>
      <c r="F6" s="22"/>
      <c r="G6" s="22"/>
      <c r="H6" s="9"/>
      <c r="I6" s="9"/>
    </row>
    <row r="7" customFormat="false" ht="15" hidden="false" customHeight="true" outlineLevel="0" collapsed="false">
      <c r="A7" s="9"/>
      <c r="B7" s="9"/>
      <c r="C7" s="9"/>
      <c r="D7" s="9"/>
      <c r="E7" s="9"/>
      <c r="F7" s="22"/>
      <c r="G7" s="22"/>
      <c r="H7" s="9"/>
      <c r="I7" s="9"/>
    </row>
    <row r="8" customFormat="false" ht="15" hidden="false" customHeight="true" outlineLevel="0" collapsed="false">
      <c r="A8" s="9"/>
      <c r="B8" s="9"/>
      <c r="C8" s="9"/>
      <c r="D8" s="9"/>
      <c r="E8" s="9"/>
      <c r="F8" s="22"/>
      <c r="G8" s="22"/>
      <c r="H8" s="9"/>
      <c r="I8" s="9"/>
    </row>
    <row r="9" customFormat="false" ht="15" hidden="false" customHeight="true" outlineLevel="0" collapsed="false">
      <c r="A9" s="9"/>
      <c r="B9" s="9"/>
      <c r="C9" s="9"/>
      <c r="D9" s="9"/>
      <c r="E9" s="9"/>
      <c r="F9" s="22"/>
      <c r="G9" s="22"/>
      <c r="H9" s="9"/>
      <c r="I9" s="9"/>
    </row>
    <row r="10" customFormat="false" ht="15" hidden="false" customHeight="true" outlineLevel="0" collapsed="false">
      <c r="A10" s="9"/>
      <c r="B10" s="9"/>
      <c r="C10" s="9"/>
      <c r="D10" s="9"/>
      <c r="E10" s="9"/>
      <c r="F10" s="22"/>
      <c r="G10" s="22"/>
      <c r="H10" s="9"/>
      <c r="I10" s="9"/>
    </row>
    <row r="11" customFormat="false" ht="15" hidden="false" customHeight="true" outlineLevel="0" collapsed="false">
      <c r="A11" s="9"/>
      <c r="B11" s="9"/>
      <c r="C11" s="9"/>
      <c r="D11" s="9"/>
      <c r="E11" s="9"/>
      <c r="F11" s="22"/>
      <c r="G11" s="22"/>
      <c r="H11" s="9"/>
      <c r="I11" s="9"/>
    </row>
    <row r="12" customFormat="false" ht="15" hidden="false" customHeight="true" outlineLevel="0" collapsed="false">
      <c r="A12" s="9"/>
      <c r="B12" s="9"/>
      <c r="C12" s="9"/>
      <c r="D12" s="9"/>
      <c r="E12" s="9"/>
      <c r="F12" s="22"/>
      <c r="G12" s="22"/>
      <c r="H12" s="9"/>
      <c r="I12" s="9"/>
    </row>
    <row r="13" customFormat="false" ht="15" hidden="false" customHeight="true" outlineLevel="0" collapsed="false">
      <c r="A13" s="9"/>
      <c r="B13" s="9"/>
      <c r="C13" s="9"/>
      <c r="D13" s="9"/>
      <c r="E13" s="9"/>
      <c r="F13" s="22"/>
      <c r="G13" s="22"/>
      <c r="H13" s="9"/>
      <c r="I13" s="9"/>
    </row>
    <row r="14" customFormat="false" ht="15" hidden="false" customHeight="true" outlineLevel="0" collapsed="false">
      <c r="A14" s="9"/>
      <c r="B14" s="9"/>
      <c r="C14" s="9"/>
      <c r="D14" s="9"/>
      <c r="E14" s="9"/>
      <c r="F14" s="22"/>
      <c r="G14" s="22"/>
      <c r="H14" s="9"/>
      <c r="I14" s="9"/>
    </row>
    <row r="15" customFormat="false" ht="15" hidden="false" customHeight="true" outlineLevel="0" collapsed="false">
      <c r="A15" s="9"/>
      <c r="B15" s="9"/>
      <c r="C15" s="9"/>
      <c r="D15" s="9"/>
      <c r="E15" s="9"/>
      <c r="F15" s="22"/>
      <c r="G15" s="22"/>
      <c r="H15" s="9"/>
      <c r="I15" s="9"/>
    </row>
    <row r="16" customFormat="false" ht="15" hidden="false" customHeight="true" outlineLevel="0" collapsed="false">
      <c r="A16" s="9"/>
      <c r="B16" s="9"/>
      <c r="C16" s="9"/>
      <c r="D16" s="9"/>
      <c r="E16" s="9"/>
      <c r="F16" s="22"/>
      <c r="G16" s="22"/>
      <c r="H16" s="9"/>
      <c r="I16" s="9"/>
    </row>
    <row r="17" customFormat="false" ht="15" hidden="false" customHeight="true" outlineLevel="0" collapsed="false">
      <c r="A17" s="9"/>
      <c r="B17" s="9"/>
      <c r="C17" s="9"/>
      <c r="D17" s="9"/>
      <c r="E17" s="9"/>
      <c r="F17" s="22"/>
      <c r="G17" s="22"/>
      <c r="H17" s="9"/>
      <c r="I17" s="9"/>
    </row>
    <row r="18" customFormat="false" ht="15" hidden="false" customHeight="true" outlineLevel="0" collapsed="false">
      <c r="A18" s="9"/>
      <c r="B18" s="9"/>
      <c r="C18" s="9"/>
      <c r="D18" s="9"/>
      <c r="E18" s="9"/>
      <c r="F18" s="22"/>
      <c r="G18" s="22"/>
      <c r="H18" s="9"/>
      <c r="I18" s="9"/>
    </row>
    <row r="19" customFormat="false" ht="15" hidden="false" customHeight="true" outlineLevel="0" collapsed="false">
      <c r="A19" s="9"/>
      <c r="B19" s="9"/>
      <c r="C19" s="9"/>
      <c r="D19" s="9"/>
      <c r="E19" s="9"/>
      <c r="F19" s="22"/>
      <c r="G19" s="22"/>
      <c r="H19" s="9"/>
      <c r="I19" s="9"/>
    </row>
    <row r="20" customFormat="false" ht="15" hidden="false" customHeight="true" outlineLevel="0" collapsed="false">
      <c r="A20" s="9"/>
      <c r="B20" s="9"/>
      <c r="C20" s="9"/>
      <c r="D20" s="9"/>
      <c r="E20" s="9"/>
      <c r="F20" s="22"/>
      <c r="G20" s="22"/>
      <c r="H20" s="9"/>
      <c r="I20" s="9"/>
    </row>
    <row r="21" customFormat="false" ht="15" hidden="false" customHeight="true" outlineLevel="0" collapsed="false">
      <c r="A21" s="9"/>
      <c r="B21" s="9"/>
      <c r="C21" s="9"/>
      <c r="D21" s="9"/>
      <c r="E21" s="9"/>
      <c r="F21" s="22"/>
      <c r="G21" s="22"/>
      <c r="H21" s="9"/>
      <c r="I21" s="9"/>
    </row>
    <row r="22" customFormat="false" ht="15" hidden="false" customHeight="true" outlineLevel="0" collapsed="false">
      <c r="A22" s="9"/>
      <c r="B22" s="9"/>
      <c r="C22" s="9"/>
      <c r="D22" s="9"/>
      <c r="E22" s="9"/>
      <c r="F22" s="22"/>
      <c r="G22" s="22"/>
      <c r="H22" s="9"/>
      <c r="I22" s="9"/>
    </row>
    <row r="23" customFormat="false" ht="15" hidden="false" customHeight="true" outlineLevel="0" collapsed="false">
      <c r="A23" s="9"/>
      <c r="B23" s="9"/>
      <c r="C23" s="9"/>
      <c r="D23" s="9"/>
      <c r="E23" s="9"/>
      <c r="F23" s="22"/>
      <c r="G23" s="22"/>
      <c r="H23" s="9"/>
      <c r="I23" s="9"/>
    </row>
    <row r="24" customFormat="false" ht="15" hidden="false" customHeight="true" outlineLevel="0" collapsed="false">
      <c r="A24" s="9"/>
      <c r="B24" s="9"/>
      <c r="C24" s="9"/>
      <c r="D24" s="9"/>
      <c r="E24" s="9"/>
      <c r="F24" s="22"/>
      <c r="G24" s="22"/>
      <c r="H24" s="9"/>
      <c r="I24" s="9"/>
    </row>
    <row r="25" customFormat="false" ht="15" hidden="false" customHeight="true" outlineLevel="0" collapsed="false">
      <c r="A25" s="9"/>
      <c r="B25" s="9"/>
      <c r="C25" s="9"/>
      <c r="D25" s="9"/>
      <c r="E25" s="9"/>
      <c r="F25" s="22"/>
      <c r="G25" s="22"/>
      <c r="H25" s="9"/>
      <c r="I25" s="9"/>
    </row>
    <row r="26" customFormat="false" ht="15" hidden="false" customHeight="true" outlineLevel="0" collapsed="false">
      <c r="A26" s="9"/>
      <c r="B26" s="9"/>
      <c r="C26" s="9"/>
      <c r="D26" s="9"/>
      <c r="E26" s="9"/>
      <c r="F26" s="22"/>
      <c r="G26" s="22"/>
      <c r="H26" s="9"/>
      <c r="I26" s="9"/>
    </row>
    <row r="27" customFormat="false" ht="15" hidden="false" customHeight="true" outlineLevel="0" collapsed="false">
      <c r="A27" s="9"/>
      <c r="B27" s="9"/>
      <c r="C27" s="9"/>
      <c r="D27" s="9"/>
      <c r="E27" s="9"/>
      <c r="F27" s="22"/>
      <c r="G27" s="22"/>
      <c r="H27" s="9"/>
      <c r="I27" s="9"/>
    </row>
    <row r="28" customFormat="false" ht="15" hidden="false" customHeight="true" outlineLevel="0" collapsed="false">
      <c r="A28" s="9"/>
      <c r="B28" s="9"/>
      <c r="C28" s="9"/>
      <c r="D28" s="9"/>
      <c r="E28" s="9"/>
      <c r="F28" s="22"/>
      <c r="G28" s="22"/>
      <c r="H28" s="9"/>
      <c r="I28" s="9"/>
    </row>
    <row r="29" customFormat="false" ht="15" hidden="false" customHeight="true" outlineLevel="0" collapsed="false">
      <c r="A29" s="9"/>
      <c r="B29" s="9"/>
      <c r="C29" s="9"/>
      <c r="D29" s="9"/>
      <c r="E29" s="9"/>
      <c r="F29" s="22"/>
      <c r="G29" s="22"/>
      <c r="H29" s="9"/>
      <c r="I29" s="9"/>
    </row>
    <row r="30" customFormat="false" ht="15" hidden="false" customHeight="true" outlineLevel="0" collapsed="false">
      <c r="A30" s="9"/>
      <c r="B30" s="9"/>
      <c r="C30" s="9"/>
      <c r="D30" s="9"/>
      <c r="E30" s="9"/>
      <c r="F30" s="22"/>
      <c r="G30" s="22"/>
      <c r="H30" s="9"/>
      <c r="I30" s="9"/>
    </row>
    <row r="31" customFormat="false" ht="15" hidden="false" customHeight="true" outlineLevel="0" collapsed="false">
      <c r="A31" s="9"/>
      <c r="B31" s="9"/>
      <c r="C31" s="9"/>
      <c r="D31" s="9"/>
      <c r="E31" s="9"/>
      <c r="F31" s="22"/>
      <c r="G31" s="22"/>
      <c r="H31" s="9"/>
      <c r="I31" s="9"/>
    </row>
    <row r="32" customFormat="false" ht="15" hidden="false" customHeight="true" outlineLevel="0" collapsed="false">
      <c r="A32" s="9"/>
      <c r="B32" s="9"/>
      <c r="C32" s="9"/>
      <c r="D32" s="9"/>
      <c r="E32" s="9"/>
      <c r="F32" s="22"/>
      <c r="G32" s="22"/>
      <c r="H32" s="9"/>
      <c r="I32" s="9"/>
    </row>
    <row r="33" customFormat="false" ht="15" hidden="false" customHeight="true" outlineLevel="0" collapsed="false">
      <c r="A33" s="9"/>
      <c r="B33" s="9"/>
      <c r="C33" s="9"/>
      <c r="D33" s="9"/>
      <c r="E33" s="9"/>
      <c r="F33" s="22"/>
      <c r="G33" s="22"/>
      <c r="H33" s="9"/>
      <c r="I33" s="9"/>
    </row>
    <row r="34" customFormat="false" ht="15" hidden="false" customHeight="true" outlineLevel="0" collapsed="false">
      <c r="A34" s="9"/>
      <c r="B34" s="9"/>
      <c r="C34" s="9"/>
      <c r="D34" s="9"/>
      <c r="E34" s="9"/>
      <c r="F34" s="22"/>
      <c r="G34" s="22"/>
      <c r="H34" s="9"/>
      <c r="I34" s="9"/>
    </row>
    <row r="35" customFormat="false" ht="15" hidden="false" customHeight="true" outlineLevel="0" collapsed="false">
      <c r="A35" s="9"/>
      <c r="B35" s="9"/>
      <c r="C35" s="9"/>
      <c r="D35" s="9"/>
      <c r="E35" s="9"/>
      <c r="F35" s="22"/>
      <c r="G35" s="22"/>
      <c r="H35" s="9"/>
      <c r="I35" s="9"/>
    </row>
    <row r="37" customFormat="false" ht="15" hidden="false" customHeight="true" outlineLevel="0" collapsed="false">
      <c r="A37" s="23" t="s">
        <v>367</v>
      </c>
      <c r="F37" s="24" t="n">
        <f aca="false">SUM(F5:F35)</f>
        <v>0</v>
      </c>
    </row>
    <row r="38" customFormat="false" ht="15" hidden="false" customHeight="true" outlineLevel="0" collapsed="false">
      <c r="A38" s="23" t="s">
        <v>368</v>
      </c>
      <c r="G38" s="24" t="n">
        <f aca="false">SUM(G5:G35)</f>
        <v>0</v>
      </c>
    </row>
    <row r="39" customFormat="false" ht="15" hidden="false" customHeight="true" outlineLevel="0" collapsed="false">
      <c r="A39" s="23" t="s">
        <v>369</v>
      </c>
      <c r="G39" s="22"/>
    </row>
    <row r="40" customFormat="false" ht="15" hidden="false" customHeight="true" outlineLevel="0" collapsed="false">
      <c r="A40" s="23" t="s">
        <v>370</v>
      </c>
      <c r="G40" s="25" t="str">
        <f aca="false">IF(OR(G38=0,G38="",G39=""),"",G39/(G38/12))</f>
        <v/>
      </c>
    </row>
  </sheetData>
  <mergeCells count="2">
    <mergeCell ref="A1:H1"/>
    <mergeCell ref="A2:I2"/>
  </mergeCells>
  <dataValidations count="2">
    <dataValidation allowBlank="true" errorStyle="stop" operator="between" showDropDown="false" showErrorMessage="false" showInputMessage="false" sqref="A6:A36" type="list">
      <formula1>_Lists!$M$2:$M$8</formula1>
      <formula2>0</formula2>
    </dataValidation>
    <dataValidation allowBlank="true" errorStyle="stop" operator="between" showDropDown="false" showErrorMessage="false" showInputMessage="false" sqref="I6:I36" type="list">
      <formula1>_Lists!$P$2:$P$4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46"/>
    <col collapsed="false" customWidth="true" hidden="false" outlineLevel="0" max="3" min="3" style="1" width="20"/>
    <col collapsed="false" customWidth="true" hidden="false" outlineLevel="0" max="6" min="4" style="1" width="14"/>
    <col collapsed="false" customWidth="true" hidden="false" outlineLevel="0" max="7" min="7" style="1" width="46"/>
  </cols>
  <sheetData>
    <row r="1" customFormat="false" ht="19.5" hidden="false" customHeight="true" outlineLevel="0" collapsed="false">
      <c r="A1" s="2" t="s">
        <v>371</v>
      </c>
      <c r="B1" s="2"/>
      <c r="C1" s="2"/>
      <c r="D1" s="2"/>
      <c r="E1" s="2"/>
      <c r="F1" s="2"/>
      <c r="G1" s="2"/>
    </row>
    <row r="2" customFormat="false" ht="15.75" hidden="false" customHeight="true" outlineLevel="0" collapsed="false">
      <c r="A2" s="3" t="s">
        <v>372</v>
      </c>
      <c r="B2" s="3"/>
      <c r="C2" s="3"/>
      <c r="D2" s="3"/>
      <c r="E2" s="3"/>
      <c r="F2" s="3"/>
      <c r="G2" s="3"/>
    </row>
    <row r="4" customFormat="false" ht="31.5" hidden="false" customHeight="true" outlineLevel="0" collapsed="false">
      <c r="A4" s="7" t="s">
        <v>373</v>
      </c>
      <c r="B4" s="7" t="s">
        <v>374</v>
      </c>
      <c r="C4" s="7" t="s">
        <v>375</v>
      </c>
      <c r="D4" s="7" t="s">
        <v>376</v>
      </c>
      <c r="E4" s="7" t="s">
        <v>300</v>
      </c>
      <c r="F4" s="7" t="s">
        <v>295</v>
      </c>
      <c r="G4" s="7" t="s">
        <v>377</v>
      </c>
    </row>
    <row r="5" customFormat="false" ht="33.75" hidden="false" customHeight="true" outlineLevel="0" collapsed="false">
      <c r="A5" s="15" t="s">
        <v>60</v>
      </c>
      <c r="B5" s="15" t="s">
        <v>378</v>
      </c>
      <c r="C5" s="15" t="n">
        <v>1</v>
      </c>
      <c r="D5" s="16" t="n">
        <v>46130</v>
      </c>
      <c r="E5" s="16"/>
      <c r="F5" s="15" t="s">
        <v>61</v>
      </c>
      <c r="G5" s="15" t="s">
        <v>157</v>
      </c>
    </row>
    <row r="6" customFormat="false" ht="15" hidden="false" customHeight="true" outlineLevel="0" collapsed="false">
      <c r="A6" s="9" t="s">
        <v>60</v>
      </c>
      <c r="B6" s="9" t="s">
        <v>379</v>
      </c>
      <c r="C6" s="9" t="n">
        <v>3</v>
      </c>
      <c r="D6" s="11" t="n">
        <v>46158</v>
      </c>
      <c r="E6" s="11"/>
      <c r="F6" s="9" t="s">
        <v>61</v>
      </c>
      <c r="G6" s="9" t="s">
        <v>157</v>
      </c>
    </row>
    <row r="7" customFormat="false" ht="15" hidden="false" customHeight="true" outlineLevel="0" collapsed="false">
      <c r="A7" s="9" t="s">
        <v>60</v>
      </c>
      <c r="B7" s="9" t="s">
        <v>380</v>
      </c>
      <c r="C7" s="9" t="n">
        <v>4</v>
      </c>
      <c r="D7" s="11" t="n">
        <v>46179</v>
      </c>
      <c r="E7" s="11"/>
      <c r="F7" s="9" t="s">
        <v>61</v>
      </c>
      <c r="G7" s="9" t="s">
        <v>157</v>
      </c>
    </row>
    <row r="8" customFormat="false" ht="15" hidden="false" customHeight="true" outlineLevel="0" collapsed="false">
      <c r="A8" s="9" t="s">
        <v>60</v>
      </c>
      <c r="B8" s="9" t="s">
        <v>381</v>
      </c>
      <c r="C8" s="9" t="n">
        <v>4</v>
      </c>
      <c r="D8" s="11" t="n">
        <v>46179</v>
      </c>
      <c r="E8" s="11"/>
      <c r="F8" s="9" t="s">
        <v>61</v>
      </c>
      <c r="G8" s="9" t="s">
        <v>157</v>
      </c>
    </row>
    <row r="9" customFormat="false" ht="15" hidden="false" customHeight="true" outlineLevel="0" collapsed="false">
      <c r="A9" s="9" t="s">
        <v>75</v>
      </c>
      <c r="B9" s="9" t="s">
        <v>382</v>
      </c>
      <c r="C9" s="9" t="n">
        <v>1</v>
      </c>
      <c r="D9" s="11" t="n">
        <v>46130</v>
      </c>
      <c r="E9" s="11"/>
      <c r="F9" s="9" t="s">
        <v>76</v>
      </c>
      <c r="G9" s="9"/>
    </row>
    <row r="10" customFormat="false" ht="15" hidden="false" customHeight="true" outlineLevel="0" collapsed="false">
      <c r="A10" s="9"/>
      <c r="B10" s="9"/>
      <c r="C10" s="9"/>
      <c r="D10" s="11"/>
      <c r="E10" s="11"/>
      <c r="F10" s="9"/>
      <c r="G10" s="9"/>
    </row>
    <row r="11" customFormat="false" ht="15" hidden="false" customHeight="true" outlineLevel="0" collapsed="false">
      <c r="A11" s="9"/>
      <c r="B11" s="9"/>
      <c r="C11" s="9"/>
      <c r="D11" s="11"/>
      <c r="E11" s="11"/>
      <c r="F11" s="9"/>
      <c r="G11" s="9"/>
    </row>
    <row r="12" customFormat="false" ht="15" hidden="false" customHeight="true" outlineLevel="0" collapsed="false">
      <c r="A12" s="9"/>
      <c r="B12" s="9"/>
      <c r="C12" s="9"/>
      <c r="D12" s="11"/>
      <c r="E12" s="11"/>
      <c r="F12" s="9"/>
      <c r="G12" s="9"/>
    </row>
    <row r="13" customFormat="false" ht="15" hidden="false" customHeight="true" outlineLevel="0" collapsed="false">
      <c r="A13" s="9"/>
      <c r="B13" s="9"/>
      <c r="C13" s="9"/>
      <c r="D13" s="11"/>
      <c r="E13" s="11"/>
      <c r="F13" s="9"/>
      <c r="G13" s="9"/>
    </row>
    <row r="14" customFormat="false" ht="15" hidden="false" customHeight="true" outlineLevel="0" collapsed="false">
      <c r="A14" s="9"/>
      <c r="B14" s="9"/>
      <c r="C14" s="9"/>
      <c r="D14" s="11"/>
      <c r="E14" s="11"/>
      <c r="F14" s="9"/>
      <c r="G14" s="9"/>
    </row>
    <row r="15" customFormat="false" ht="15" hidden="false" customHeight="true" outlineLevel="0" collapsed="false">
      <c r="A15" s="9"/>
      <c r="B15" s="9"/>
      <c r="C15" s="9"/>
      <c r="D15" s="11"/>
      <c r="E15" s="11"/>
      <c r="F15" s="9"/>
      <c r="G15" s="9"/>
    </row>
    <row r="16" customFormat="false" ht="15" hidden="false" customHeight="true" outlineLevel="0" collapsed="false">
      <c r="A16" s="9"/>
      <c r="B16" s="9"/>
      <c r="C16" s="9"/>
      <c r="D16" s="11"/>
      <c r="E16" s="11"/>
      <c r="F16" s="9"/>
      <c r="G16" s="9"/>
    </row>
    <row r="17" customFormat="false" ht="15" hidden="false" customHeight="true" outlineLevel="0" collapsed="false">
      <c r="A17" s="9"/>
      <c r="B17" s="9"/>
      <c r="C17" s="9"/>
      <c r="D17" s="11"/>
      <c r="E17" s="11"/>
      <c r="F17" s="9"/>
      <c r="G17" s="9"/>
    </row>
    <row r="18" customFormat="false" ht="15" hidden="false" customHeight="true" outlineLevel="0" collapsed="false">
      <c r="A18" s="9"/>
      <c r="B18" s="9"/>
      <c r="C18" s="9"/>
      <c r="D18" s="11"/>
      <c r="E18" s="11"/>
      <c r="F18" s="9"/>
      <c r="G18" s="9"/>
    </row>
    <row r="19" customFormat="false" ht="15" hidden="false" customHeight="true" outlineLevel="0" collapsed="false">
      <c r="A19" s="9"/>
      <c r="B19" s="9"/>
      <c r="C19" s="9"/>
      <c r="D19" s="11"/>
      <c r="E19" s="11"/>
      <c r="F19" s="9"/>
      <c r="G19" s="9"/>
    </row>
    <row r="20" customFormat="false" ht="15" hidden="false" customHeight="true" outlineLevel="0" collapsed="false">
      <c r="A20" s="9"/>
      <c r="B20" s="9"/>
      <c r="C20" s="9"/>
      <c r="D20" s="11"/>
      <c r="E20" s="11"/>
      <c r="F20" s="9"/>
      <c r="G20" s="9"/>
    </row>
    <row r="21" customFormat="false" ht="15" hidden="false" customHeight="true" outlineLevel="0" collapsed="false">
      <c r="A21" s="9"/>
      <c r="B21" s="9"/>
      <c r="C21" s="9"/>
      <c r="D21" s="11"/>
      <c r="E21" s="11"/>
      <c r="F21" s="9"/>
      <c r="G21" s="9"/>
    </row>
    <row r="22" customFormat="false" ht="15" hidden="false" customHeight="true" outlineLevel="0" collapsed="false">
      <c r="A22" s="9"/>
      <c r="B22" s="9"/>
      <c r="C22" s="9"/>
      <c r="D22" s="11"/>
      <c r="E22" s="11"/>
      <c r="F22" s="9"/>
      <c r="G22" s="9"/>
    </row>
    <row r="23" customFormat="false" ht="15" hidden="false" customHeight="true" outlineLevel="0" collapsed="false">
      <c r="A23" s="9"/>
      <c r="B23" s="9"/>
      <c r="C23" s="9"/>
      <c r="D23" s="11"/>
      <c r="E23" s="11"/>
      <c r="F23" s="9"/>
      <c r="G23" s="9"/>
    </row>
    <row r="24" customFormat="false" ht="15" hidden="false" customHeight="true" outlineLevel="0" collapsed="false">
      <c r="A24" s="9"/>
      <c r="B24" s="9"/>
      <c r="C24" s="9"/>
      <c r="D24" s="11"/>
      <c r="E24" s="11"/>
      <c r="F24" s="9"/>
      <c r="G24" s="9"/>
    </row>
    <row r="25" customFormat="false" ht="15" hidden="false" customHeight="true" outlineLevel="0" collapsed="false">
      <c r="A25" s="9"/>
      <c r="B25" s="9"/>
      <c r="C25" s="9"/>
      <c r="D25" s="11"/>
      <c r="E25" s="11"/>
      <c r="F25" s="9"/>
      <c r="G25" s="9"/>
    </row>
    <row r="26" customFormat="false" ht="15" hidden="false" customHeight="true" outlineLevel="0" collapsed="false">
      <c r="A26" s="9"/>
      <c r="B26" s="9"/>
      <c r="C26" s="9"/>
      <c r="D26" s="11"/>
      <c r="E26" s="11"/>
      <c r="F26" s="9"/>
      <c r="G26" s="9"/>
    </row>
    <row r="27" customFormat="false" ht="15" hidden="false" customHeight="true" outlineLevel="0" collapsed="false">
      <c r="A27" s="9"/>
      <c r="B27" s="9"/>
      <c r="C27" s="9"/>
      <c r="D27" s="11"/>
      <c r="E27" s="11"/>
      <c r="F27" s="9"/>
      <c r="G27" s="9"/>
    </row>
    <row r="28" customFormat="false" ht="15" hidden="false" customHeight="true" outlineLevel="0" collapsed="false">
      <c r="A28" s="9"/>
      <c r="B28" s="9"/>
      <c r="C28" s="9"/>
      <c r="D28" s="11"/>
      <c r="E28" s="11"/>
      <c r="F28" s="9"/>
      <c r="G28" s="9"/>
    </row>
    <row r="29" customFormat="false" ht="15" hidden="false" customHeight="true" outlineLevel="0" collapsed="false">
      <c r="A29" s="9"/>
      <c r="B29" s="9"/>
      <c r="C29" s="9"/>
      <c r="D29" s="11"/>
      <c r="E29" s="11"/>
      <c r="F29" s="9"/>
      <c r="G29" s="9"/>
    </row>
    <row r="30" customFormat="false" ht="15" hidden="false" customHeight="true" outlineLevel="0" collapsed="false">
      <c r="A30" s="9"/>
      <c r="B30" s="9"/>
      <c r="C30" s="9"/>
      <c r="D30" s="11"/>
      <c r="E30" s="11"/>
      <c r="F30" s="9"/>
      <c r="G30" s="9"/>
    </row>
    <row r="31" customFormat="false" ht="15" hidden="false" customHeight="true" outlineLevel="0" collapsed="false">
      <c r="A31" s="9"/>
      <c r="B31" s="9"/>
      <c r="C31" s="9"/>
      <c r="D31" s="11"/>
      <c r="E31" s="11"/>
      <c r="F31" s="9"/>
      <c r="G31" s="9"/>
    </row>
    <row r="32" customFormat="false" ht="15" hidden="false" customHeight="true" outlineLevel="0" collapsed="false">
      <c r="A32" s="9"/>
      <c r="B32" s="9"/>
      <c r="C32" s="9"/>
      <c r="D32" s="11"/>
      <c r="E32" s="11"/>
      <c r="F32" s="9"/>
      <c r="G32" s="9"/>
    </row>
    <row r="33" customFormat="false" ht="15" hidden="false" customHeight="true" outlineLevel="0" collapsed="false">
      <c r="A33" s="9"/>
      <c r="B33" s="9"/>
      <c r="C33" s="9"/>
      <c r="D33" s="11"/>
      <c r="E33" s="11"/>
      <c r="F33" s="9"/>
      <c r="G33" s="9"/>
    </row>
    <row r="34" customFormat="false" ht="15" hidden="false" customHeight="true" outlineLevel="0" collapsed="false">
      <c r="A34" s="9"/>
      <c r="B34" s="9"/>
      <c r="C34" s="9"/>
      <c r="D34" s="11"/>
      <c r="E34" s="11"/>
      <c r="F34" s="9"/>
      <c r="G34" s="9"/>
    </row>
    <row r="35" customFormat="false" ht="15" hidden="false" customHeight="true" outlineLevel="0" collapsed="false">
      <c r="A35" s="9"/>
      <c r="B35" s="9"/>
      <c r="C35" s="9"/>
      <c r="D35" s="11"/>
      <c r="E35" s="11"/>
      <c r="F35" s="9"/>
      <c r="G35" s="9"/>
    </row>
    <row r="36" customFormat="false" ht="15" hidden="false" customHeight="true" outlineLevel="0" collapsed="false">
      <c r="A36" s="9"/>
      <c r="B36" s="9"/>
      <c r="C36" s="9"/>
      <c r="D36" s="11"/>
      <c r="E36" s="11"/>
      <c r="F36" s="9"/>
      <c r="G36" s="9"/>
    </row>
    <row r="37" customFormat="false" ht="15" hidden="false" customHeight="true" outlineLevel="0" collapsed="false">
      <c r="A37" s="9"/>
      <c r="B37" s="9"/>
      <c r="C37" s="9"/>
      <c r="D37" s="11"/>
      <c r="E37" s="11"/>
      <c r="F37" s="9"/>
      <c r="G37" s="9"/>
    </row>
    <row r="38" customFormat="false" ht="15" hidden="false" customHeight="true" outlineLevel="0" collapsed="false">
      <c r="A38" s="9"/>
      <c r="B38" s="9"/>
      <c r="C38" s="9"/>
      <c r="D38" s="11"/>
      <c r="E38" s="11"/>
      <c r="F38" s="9"/>
      <c r="G38" s="9"/>
    </row>
    <row r="39" customFormat="false" ht="15" hidden="false" customHeight="true" outlineLevel="0" collapsed="false">
      <c r="A39" s="9"/>
      <c r="B39" s="9"/>
      <c r="C39" s="9"/>
      <c r="D39" s="11"/>
      <c r="E39" s="11"/>
      <c r="F39" s="9"/>
      <c r="G39" s="9"/>
    </row>
    <row r="40" customFormat="false" ht="15" hidden="false" customHeight="true" outlineLevel="0" collapsed="false">
      <c r="A40" s="9"/>
      <c r="B40" s="9"/>
      <c r="C40" s="9"/>
      <c r="D40" s="11"/>
      <c r="E40" s="11"/>
      <c r="F40" s="9"/>
      <c r="G40" s="9"/>
    </row>
    <row r="41" customFormat="false" ht="15" hidden="false" customHeight="true" outlineLevel="0" collapsed="false">
      <c r="A41" s="9"/>
      <c r="B41" s="9"/>
      <c r="C41" s="9"/>
      <c r="D41" s="11"/>
      <c r="E41" s="11"/>
      <c r="F41" s="9"/>
      <c r="G41" s="9"/>
    </row>
    <row r="42" customFormat="false" ht="15" hidden="false" customHeight="true" outlineLevel="0" collapsed="false">
      <c r="A42" s="9"/>
      <c r="B42" s="9"/>
      <c r="C42" s="9"/>
      <c r="D42" s="11"/>
      <c r="E42" s="11"/>
      <c r="F42" s="9"/>
      <c r="G42" s="9"/>
    </row>
    <row r="43" customFormat="false" ht="15" hidden="false" customHeight="true" outlineLevel="0" collapsed="false">
      <c r="A43" s="9"/>
      <c r="B43" s="9"/>
      <c r="C43" s="9"/>
      <c r="D43" s="11"/>
      <c r="E43" s="11"/>
      <c r="F43" s="9"/>
      <c r="G43" s="9"/>
    </row>
    <row r="44" customFormat="false" ht="15" hidden="false" customHeight="true" outlineLevel="0" collapsed="false">
      <c r="A44" s="9"/>
      <c r="B44" s="9"/>
      <c r="C44" s="9"/>
      <c r="D44" s="11"/>
      <c r="E44" s="11"/>
      <c r="F44" s="9"/>
      <c r="G44" s="9"/>
    </row>
    <row r="45" customFormat="false" ht="15" hidden="false" customHeight="true" outlineLevel="0" collapsed="false">
      <c r="A45" s="9"/>
      <c r="B45" s="9"/>
      <c r="C45" s="9"/>
      <c r="D45" s="11"/>
      <c r="E45" s="11"/>
      <c r="F45" s="9"/>
      <c r="G45" s="9"/>
    </row>
    <row r="46" customFormat="false" ht="15" hidden="false" customHeight="true" outlineLevel="0" collapsed="false">
      <c r="A46" s="9"/>
      <c r="B46" s="9"/>
      <c r="C46" s="9"/>
      <c r="D46" s="11"/>
      <c r="E46" s="11"/>
      <c r="F46" s="9"/>
      <c r="G46" s="9"/>
    </row>
    <row r="47" customFormat="false" ht="15" hidden="false" customHeight="true" outlineLevel="0" collapsed="false">
      <c r="A47" s="9"/>
      <c r="B47" s="9"/>
      <c r="C47" s="9"/>
      <c r="D47" s="11"/>
      <c r="E47" s="11"/>
      <c r="F47" s="9"/>
      <c r="G47" s="9"/>
    </row>
    <row r="48" customFormat="false" ht="15" hidden="false" customHeight="true" outlineLevel="0" collapsed="false">
      <c r="A48" s="9"/>
      <c r="B48" s="9"/>
      <c r="C48" s="9"/>
      <c r="D48" s="11"/>
      <c r="E48" s="11"/>
      <c r="F48" s="9"/>
      <c r="G48" s="9"/>
    </row>
    <row r="49" customFormat="false" ht="15" hidden="false" customHeight="true" outlineLevel="0" collapsed="false">
      <c r="A49" s="9"/>
      <c r="B49" s="9"/>
      <c r="C49" s="9"/>
      <c r="D49" s="11"/>
      <c r="E49" s="11"/>
      <c r="F49" s="9"/>
      <c r="G49" s="9"/>
    </row>
    <row r="50" customFormat="false" ht="15" hidden="false" customHeight="true" outlineLevel="0" collapsed="false">
      <c r="A50" s="9"/>
      <c r="B50" s="9"/>
      <c r="C50" s="9"/>
      <c r="D50" s="11"/>
      <c r="E50" s="11"/>
      <c r="F50" s="9"/>
      <c r="G50" s="9"/>
    </row>
    <row r="51" customFormat="false" ht="15" hidden="false" customHeight="true" outlineLevel="0" collapsed="false">
      <c r="A51" s="9"/>
      <c r="B51" s="9"/>
      <c r="C51" s="9"/>
      <c r="D51" s="11"/>
      <c r="E51" s="11"/>
      <c r="F51" s="9"/>
      <c r="G51" s="9"/>
    </row>
    <row r="52" customFormat="false" ht="15" hidden="false" customHeight="true" outlineLevel="0" collapsed="false">
      <c r="A52" s="9"/>
      <c r="B52" s="9"/>
      <c r="C52" s="9"/>
      <c r="D52" s="11"/>
      <c r="E52" s="11"/>
      <c r="F52" s="9"/>
      <c r="G52" s="9"/>
    </row>
    <row r="53" customFormat="false" ht="15" hidden="false" customHeight="true" outlineLevel="0" collapsed="false">
      <c r="A53" s="9"/>
      <c r="B53" s="9"/>
      <c r="C53" s="9"/>
      <c r="D53" s="11"/>
      <c r="E53" s="11"/>
      <c r="F53" s="9"/>
      <c r="G53" s="9"/>
    </row>
    <row r="54" customFormat="false" ht="15" hidden="false" customHeight="true" outlineLevel="0" collapsed="false">
      <c r="A54" s="9"/>
      <c r="B54" s="9"/>
      <c r="C54" s="9"/>
      <c r="D54" s="11"/>
      <c r="E54" s="11"/>
      <c r="F54" s="9"/>
      <c r="G54" s="9"/>
    </row>
    <row r="55" customFormat="false" ht="15" hidden="false" customHeight="true" outlineLevel="0" collapsed="false">
      <c r="A55" s="9"/>
      <c r="B55" s="9"/>
      <c r="C55" s="9"/>
      <c r="D55" s="11"/>
      <c r="E55" s="11"/>
      <c r="F55" s="9"/>
      <c r="G55" s="9"/>
    </row>
    <row r="56" customFormat="false" ht="15" hidden="false" customHeight="true" outlineLevel="0" collapsed="false">
      <c r="A56" s="9"/>
      <c r="B56" s="9"/>
      <c r="C56" s="9"/>
      <c r="D56" s="11"/>
      <c r="E56" s="11"/>
      <c r="F56" s="9"/>
      <c r="G56" s="9"/>
    </row>
    <row r="57" customFormat="false" ht="15" hidden="false" customHeight="true" outlineLevel="0" collapsed="false">
      <c r="A57" s="9"/>
      <c r="B57" s="9"/>
      <c r="C57" s="9"/>
      <c r="D57" s="11"/>
      <c r="E57" s="11"/>
      <c r="F57" s="9"/>
      <c r="G57" s="9"/>
    </row>
    <row r="58" customFormat="false" ht="15" hidden="false" customHeight="true" outlineLevel="0" collapsed="false">
      <c r="A58" s="9"/>
      <c r="B58" s="9"/>
      <c r="C58" s="9"/>
      <c r="D58" s="11"/>
      <c r="E58" s="11"/>
      <c r="F58" s="9"/>
      <c r="G58" s="9"/>
    </row>
    <row r="59" customFormat="false" ht="15" hidden="false" customHeight="true" outlineLevel="0" collapsed="false">
      <c r="A59" s="9"/>
      <c r="B59" s="9"/>
      <c r="C59" s="9"/>
      <c r="D59" s="11"/>
      <c r="E59" s="11"/>
      <c r="F59" s="9"/>
      <c r="G59" s="9"/>
    </row>
    <row r="60" customFormat="false" ht="15" hidden="false" customHeight="true" outlineLevel="0" collapsed="false">
      <c r="A60" s="9"/>
      <c r="B60" s="9"/>
      <c r="C60" s="9"/>
      <c r="D60" s="11"/>
      <c r="E60" s="11"/>
      <c r="F60" s="9"/>
      <c r="G60" s="9"/>
    </row>
    <row r="61" customFormat="false" ht="15" hidden="false" customHeight="true" outlineLevel="0" collapsed="false">
      <c r="A61" s="9"/>
      <c r="B61" s="9"/>
      <c r="C61" s="9"/>
      <c r="D61" s="11"/>
      <c r="E61" s="11"/>
      <c r="F61" s="9"/>
      <c r="G61" s="9"/>
    </row>
    <row r="62" customFormat="false" ht="15" hidden="false" customHeight="true" outlineLevel="0" collapsed="false">
      <c r="A62" s="9"/>
      <c r="B62" s="9"/>
      <c r="C62" s="9"/>
      <c r="D62" s="11"/>
      <c r="E62" s="11"/>
      <c r="F62" s="9"/>
      <c r="G62" s="9"/>
    </row>
    <row r="63" customFormat="false" ht="15" hidden="false" customHeight="true" outlineLevel="0" collapsed="false">
      <c r="A63" s="9"/>
      <c r="B63" s="9"/>
      <c r="C63" s="9"/>
      <c r="D63" s="11"/>
      <c r="E63" s="11"/>
      <c r="F63" s="9"/>
      <c r="G63" s="9"/>
    </row>
    <row r="64" customFormat="false" ht="15" hidden="false" customHeight="true" outlineLevel="0" collapsed="false">
      <c r="A64" s="9"/>
      <c r="B64" s="9"/>
      <c r="C64" s="9"/>
      <c r="D64" s="11"/>
      <c r="E64" s="11"/>
      <c r="F64" s="9"/>
      <c r="G64" s="9"/>
    </row>
    <row r="65" customFormat="false" ht="15" hidden="false" customHeight="true" outlineLevel="0" collapsed="false">
      <c r="A65" s="9"/>
      <c r="B65" s="9"/>
      <c r="C65" s="9"/>
      <c r="D65" s="11"/>
      <c r="E65" s="11"/>
      <c r="F65" s="9"/>
      <c r="G65" s="9"/>
    </row>
  </sheetData>
  <mergeCells count="2">
    <mergeCell ref="A1:G1"/>
    <mergeCell ref="A2:G2"/>
  </mergeCells>
  <dataValidations count="2">
    <dataValidation allowBlank="true" errorStyle="stop" operator="between" showDropDown="false" showErrorMessage="false" showInputMessage="false" sqref="A6:A66" type="list">
      <formula1>_Lists!$N$2:$N$3</formula1>
      <formula2>0</formula2>
    </dataValidation>
    <dataValidation allowBlank="true" errorStyle="stop" operator="between" showDropDown="false" showErrorMessage="false" showInputMessage="false" sqref="F6:F66" type="list">
      <formula1>_Lists!$O$2:$O$5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2026-08-09T14:48:11Z</dcterms:created>
  <dc:creator>openpyxl</dc:creator>
  <dc:description/>
  <dc:language>en-US</dc:language>
  <cp:lastModifiedBy/>
  <dcterms:modified xsi:type="dcterms:W3CDTF">2026-08-09T14:55:02Z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